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mar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theme="1"/>
      <sz val="11"/>
      <scheme val="minor"/>
    </font>
    <font>
      <name val="Calibri"/>
      <color theme="1"/>
      <sz val="15"/>
      <scheme val="minor"/>
    </font>
    <font>
      <name val="Calibri"/>
      <b val="1"/>
      <color theme="1"/>
      <sz val="15"/>
      <scheme val="minor"/>
    </font>
    <font>
      <name val="Times New Roman"/>
      <b val="1"/>
      <sz val="15"/>
    </font>
    <font>
      <name val="Calibri"/>
      <b val="1"/>
      <sz val="15"/>
      <scheme val="minor"/>
    </font>
    <font>
      <name val="Calibri"/>
      <b val="1"/>
      <color indexed="2"/>
      <sz val="15"/>
      <scheme val="minor"/>
    </font>
    <font>
      <name val="Times New Roman"/>
      <b val="1"/>
      <color theme="1"/>
      <sz val="15"/>
    </font>
    <font>
      <name val="Times New Roman"/>
      <b val="1"/>
      <color theme="1"/>
      <sz val="14"/>
    </font>
    <font>
      <name val="Calibri"/>
      <b val="1"/>
      <color theme="1"/>
      <sz val="14"/>
      <scheme val="minor"/>
    </font>
    <font>
      <name val="Times New Roman"/>
      <b val="1"/>
      <color indexed="2"/>
      <sz val="14"/>
    </font>
    <font>
      <name val="Calibri"/>
      <b val="1"/>
      <color theme="1"/>
      <sz val="20"/>
      <scheme val="minor"/>
    </font>
    <font>
      <name val="Calibri"/>
      <b val="1"/>
      <color indexed="2"/>
      <sz val="20"/>
      <scheme val="minor"/>
    </font>
    <font>
      <name val="Calibri"/>
      <b val="1"/>
      <color theme="1"/>
      <sz val="24"/>
      <scheme val="minor"/>
    </font>
    <font>
      <name val="Calibri"/>
      <color theme="1"/>
      <sz val="20"/>
      <scheme val="minor"/>
    </font>
    <font>
      <name val="Times New Roman"/>
      <b val="1"/>
      <sz val="14"/>
    </font>
    <font>
      <name val="Calibri"/>
      <b val="1"/>
      <sz val="14"/>
      <scheme val="minor"/>
    </font>
    <font>
      <name val="Calibri"/>
      <sz val="15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0"/>
      </patternFill>
    </fill>
    <fill>
      <patternFill patternType="solid">
        <fgColor indexed="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2" fontId="3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2" fontId="4" fillId="2" borderId="2" applyAlignment="1" pivotButton="0" quotePrefix="0" xfId="0">
      <alignment horizontal="center" vertical="center"/>
    </xf>
    <xf numFmtId="2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/>
    </xf>
    <xf numFmtId="0" fontId="6" fillId="2" borderId="7" applyAlignment="1" pivotButton="0" quotePrefix="0" xfId="0">
      <alignment horizontal="left" vertical="center" wrapText="1"/>
    </xf>
    <xf numFmtId="0" fontId="7" fillId="2" borderId="7" applyAlignment="1" pivotButton="0" quotePrefix="0" xfId="0">
      <alignment horizontal="center" vertical="center" wrapText="1"/>
    </xf>
    <xf numFmtId="2" fontId="8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10" fillId="2" borderId="8" pivotButton="0" quotePrefix="0" xfId="0"/>
    <xf numFmtId="0" fontId="10" fillId="2" borderId="9" pivotButton="0" quotePrefix="0" xfId="0"/>
    <xf numFmtId="0" fontId="11" fillId="2" borderId="9" pivotButton="0" quotePrefix="0" xfId="0"/>
    <xf numFmtId="0" fontId="12" fillId="2" borderId="9" pivotButton="0" quotePrefix="0" xfId="0"/>
    <xf numFmtId="0" fontId="10" fillId="2" borderId="10" pivotButton="0" quotePrefix="0" xfId="0"/>
    <xf numFmtId="0" fontId="13" fillId="2" borderId="9" pivotButton="0" quotePrefix="0" xfId="0"/>
    <xf numFmtId="0" fontId="1" fillId="2" borderId="11" pivotButton="0" quotePrefix="0" xfId="0"/>
    <xf numFmtId="0" fontId="2" fillId="2" borderId="12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1" fillId="2" borderId="13" pivotButton="0" quotePrefix="0" xfId="0"/>
    <xf numFmtId="0" fontId="1" fillId="2" borderId="14" pivotButton="0" quotePrefix="0" xfId="0"/>
    <xf numFmtId="0" fontId="2" fillId="2" borderId="14" pivotButton="0" quotePrefix="0" xfId="0"/>
    <xf numFmtId="0" fontId="5" fillId="2" borderId="14" pivotButton="0" quotePrefix="0" xfId="0"/>
    <xf numFmtId="0" fontId="10" fillId="2" borderId="0" pivotButton="0" quotePrefix="0" xfId="0"/>
    <xf numFmtId="0" fontId="6" fillId="2" borderId="15" applyAlignment="1" pivotButton="0" quotePrefix="0" xfId="0">
      <alignment horizontal="center"/>
    </xf>
    <xf numFmtId="0" fontId="2" fillId="2" borderId="16" pivotButton="0" quotePrefix="0" xfId="0"/>
    <xf numFmtId="0" fontId="2" fillId="2" borderId="17" pivotButton="0" quotePrefix="0" xfId="0"/>
    <xf numFmtId="0" fontId="13" fillId="2" borderId="5" pivotButton="0" quotePrefix="0" xfId="0"/>
    <xf numFmtId="0" fontId="14" fillId="2" borderId="7" applyAlignment="1" pivotButton="0" quotePrefix="0" xfId="0">
      <alignment horizontal="center" vertical="center" wrapText="1"/>
    </xf>
    <xf numFmtId="164" fontId="15" fillId="2" borderId="7" applyAlignment="1" pivotButton="0" quotePrefix="0" xfId="0">
      <alignment horizontal="center" vertical="center"/>
    </xf>
    <xf numFmtId="2" fontId="15" fillId="2" borderId="7" applyAlignment="1" pivotButton="0" quotePrefix="0" xfId="0">
      <alignment horizontal="center" vertical="center"/>
    </xf>
    <xf numFmtId="0" fontId="6" fillId="2" borderId="12" applyAlignment="1" pivotButton="0" quotePrefix="0" xfId="0">
      <alignment horizontal="left" vertical="center" wrapText="1"/>
    </xf>
    <xf numFmtId="0" fontId="4" fillId="2" borderId="12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4" fillId="2" borderId="14" pivotButton="0" quotePrefix="0" xfId="0"/>
    <xf numFmtId="0" fontId="4" fillId="2" borderId="0" pivotButton="0" quotePrefix="0" xfId="0"/>
    <xf numFmtId="0" fontId="3" fillId="2" borderId="7" applyAlignment="1" pivotButton="0" quotePrefix="0" xfId="0">
      <alignment horizontal="left" vertical="center" wrapText="1"/>
    </xf>
    <xf numFmtId="0" fontId="13" fillId="2" borderId="18" pivotButton="0" quotePrefix="0" xfId="0"/>
    <xf numFmtId="0" fontId="1" fillId="3" borderId="0" pivotButton="0" quotePrefix="0" xfId="0"/>
    <xf numFmtId="0" fontId="2" fillId="3" borderId="0" pivotButton="0" quotePrefix="0" xfId="0"/>
    <xf numFmtId="2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4" fillId="3" borderId="2" applyAlignment="1" pivotButton="0" quotePrefix="0" xfId="0">
      <alignment horizontal="center" vertical="center"/>
    </xf>
    <xf numFmtId="2" fontId="2" fillId="4" borderId="3" applyAlignment="1" pivotButton="0" quotePrefix="0" xfId="0">
      <alignment horizontal="center" vertical="center"/>
    </xf>
    <xf numFmtId="2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vertical="center"/>
    </xf>
    <xf numFmtId="0" fontId="2" fillId="3" borderId="5" pivotButton="0" quotePrefix="0" xfId="0"/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/>
    </xf>
    <xf numFmtId="0" fontId="6" fillId="3" borderId="7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center" vertical="center" wrapText="1"/>
    </xf>
    <xf numFmtId="2" fontId="8" fillId="3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 wrapText="1"/>
    </xf>
    <xf numFmtId="0" fontId="10" fillId="3" borderId="8" pivotButton="0" quotePrefix="0" xfId="0"/>
    <xf numFmtId="0" fontId="10" fillId="3" borderId="9" pivotButton="0" quotePrefix="0" xfId="0"/>
    <xf numFmtId="0" fontId="12" fillId="3" borderId="9" pivotButton="0" quotePrefix="0" xfId="0"/>
    <xf numFmtId="0" fontId="10" fillId="3" borderId="10" pivotButton="0" quotePrefix="0" xfId="0"/>
    <xf numFmtId="0" fontId="13" fillId="3" borderId="9" pivotButton="0" quotePrefix="0" xfId="0"/>
    <xf numFmtId="0" fontId="1" fillId="3" borderId="11" pivotButton="0" quotePrefix="0" xfId="0"/>
    <xf numFmtId="0" fontId="2" fillId="3" borderId="12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1" fillId="3" borderId="13" pivotButton="0" quotePrefix="0" xfId="0"/>
    <xf numFmtId="0" fontId="1" fillId="3" borderId="14" pivotButton="0" quotePrefix="0" xfId="0"/>
    <xf numFmtId="0" fontId="2" fillId="3" borderId="14" pivotButton="0" quotePrefix="0" xfId="0"/>
    <xf numFmtId="0" fontId="2" fillId="4" borderId="14" pivotButton="0" quotePrefix="0" xfId="0"/>
    <xf numFmtId="0" fontId="10" fillId="3" borderId="0" pivotButton="0" quotePrefix="0" xfId="0"/>
    <xf numFmtId="2" fontId="4" fillId="4" borderId="2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/>
    </xf>
    <xf numFmtId="0" fontId="2" fillId="3" borderId="16" pivotButton="0" quotePrefix="0" xfId="0"/>
    <xf numFmtId="0" fontId="2" fillId="3" borderId="17" pivotButton="0" quotePrefix="0" xfId="0"/>
    <xf numFmtId="0" fontId="13" fillId="3" borderId="5" pivotButton="0" quotePrefix="0" xfId="0"/>
    <xf numFmtId="0" fontId="14" fillId="3" borderId="7" applyAlignment="1" pivotButton="0" quotePrefix="0" xfId="0">
      <alignment horizontal="center" vertical="center" wrapText="1"/>
    </xf>
    <xf numFmtId="164" fontId="15" fillId="3" borderId="7" applyAlignment="1" pivotButton="0" quotePrefix="0" xfId="0">
      <alignment horizontal="center" vertical="center"/>
    </xf>
    <xf numFmtId="2" fontId="15" fillId="3" borderId="7" applyAlignment="1" pivotButton="0" quotePrefix="0" xfId="0">
      <alignment horizontal="center" vertical="center"/>
    </xf>
    <xf numFmtId="0" fontId="6" fillId="3" borderId="12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4" fillId="3" borderId="14" pivotButton="0" quotePrefix="0" xfId="0"/>
    <xf numFmtId="0" fontId="4" fillId="3" borderId="0" pivotButton="0" quotePrefix="0" xfId="0"/>
    <xf numFmtId="0" fontId="3" fillId="3" borderId="7" applyAlignment="1" pivotButton="0" quotePrefix="0" xfId="0">
      <alignment horizontal="left" vertical="center" wrapText="1"/>
    </xf>
    <xf numFmtId="0" fontId="13" fillId="3" borderId="18" pivotButton="0" quotePrefix="0" xfId="0"/>
    <xf numFmtId="0" fontId="1" fillId="5" borderId="0" pivotButton="0" quotePrefix="0" xfId="0"/>
    <xf numFmtId="0" fontId="2" fillId="5" borderId="0" pivotButton="0" quotePrefix="0" xfId="0"/>
    <xf numFmtId="2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2" fontId="2" fillId="5" borderId="3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5" applyAlignment="1" pivotButton="0" quotePrefix="0" xfId="0">
      <alignment horizontal="center" vertical="center"/>
    </xf>
    <xf numFmtId="0" fontId="2" fillId="5" borderId="5" applyAlignment="1" pivotButton="0" quotePrefix="0" xfId="0">
      <alignment vertical="center"/>
    </xf>
    <xf numFmtId="0" fontId="2" fillId="5" borderId="5" pivotButton="0" quotePrefix="0" xfId="0"/>
    <xf numFmtId="0" fontId="6" fillId="5" borderId="5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/>
    </xf>
    <xf numFmtId="0" fontId="6" fillId="5" borderId="7" applyAlignment="1" pivotButton="0" quotePrefix="0" xfId="0">
      <alignment horizontal="left" vertical="center" wrapText="1"/>
    </xf>
    <xf numFmtId="0" fontId="14" fillId="5" borderId="7" applyAlignment="1" pivotButton="0" quotePrefix="0" xfId="0">
      <alignment horizontal="center" vertical="center" wrapText="1"/>
    </xf>
    <xf numFmtId="2" fontId="15" fillId="5" borderId="7" applyAlignment="1" pivotButton="0" quotePrefix="0" xfId="0">
      <alignment horizontal="center" vertical="center"/>
    </xf>
    <xf numFmtId="0" fontId="10" fillId="5" borderId="8" pivotButton="0" quotePrefix="0" xfId="0"/>
    <xf numFmtId="0" fontId="10" fillId="5" borderId="9" pivotButton="0" quotePrefix="0" xfId="0"/>
    <xf numFmtId="0" fontId="12" fillId="5" borderId="9" pivotButton="0" quotePrefix="0" xfId="0"/>
    <xf numFmtId="0" fontId="10" fillId="5" borderId="10" pivotButton="0" quotePrefix="0" xfId="0"/>
    <xf numFmtId="0" fontId="13" fillId="5" borderId="9" pivotButton="0" quotePrefix="0" xfId="0"/>
    <xf numFmtId="0" fontId="1" fillId="5" borderId="11" pivotButton="0" quotePrefix="0" xfId="0"/>
    <xf numFmtId="0" fontId="4" fillId="5" borderId="12" applyAlignment="1" pivotButton="0" quotePrefix="0" xfId="0">
      <alignment horizontal="center" vertical="center"/>
    </xf>
    <xf numFmtId="0" fontId="1" fillId="5" borderId="13" pivotButton="0" quotePrefix="0" xfId="0"/>
    <xf numFmtId="0" fontId="1" fillId="5" borderId="14" pivotButton="0" quotePrefix="0" xfId="0"/>
    <xf numFmtId="0" fontId="4" fillId="5" borderId="14" pivotButton="0" quotePrefix="0" xfId="0"/>
    <xf numFmtId="0" fontId="10" fillId="5" borderId="0" pivotButton="0" quotePrefix="0" xfId="0"/>
    <xf numFmtId="2" fontId="4" fillId="6" borderId="1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/>
    </xf>
    <xf numFmtId="0" fontId="2" fillId="5" borderId="17" pivotButton="0" quotePrefix="0" xfId="0"/>
    <xf numFmtId="0" fontId="14" fillId="5" borderId="19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 wrapText="1"/>
    </xf>
    <xf numFmtId="0" fontId="4" fillId="6" borderId="12" applyAlignment="1" pivotButton="0" quotePrefix="0" xfId="0">
      <alignment horizontal="center" vertical="center"/>
    </xf>
    <xf numFmtId="0" fontId="4" fillId="6" borderId="14" pivotButton="0" quotePrefix="0" xfId="0"/>
    <xf numFmtId="2" fontId="4" fillId="6" borderId="2" applyAlignment="1" pivotButton="0" quotePrefix="0" xfId="0">
      <alignment horizontal="center" vertical="center"/>
    </xf>
    <xf numFmtId="2" fontId="15" fillId="6" borderId="7" applyAlignment="1" pivotButton="0" quotePrefix="0" xfId="0">
      <alignment horizontal="center" vertical="center"/>
    </xf>
    <xf numFmtId="0" fontId="13" fillId="5" borderId="5" pivotButton="0" quotePrefix="0" xfId="0"/>
    <xf numFmtId="0" fontId="2" fillId="5" borderId="14" pivotButton="0" quotePrefix="0" xfId="0"/>
    <xf numFmtId="2" fontId="2" fillId="6" borderId="3" applyAlignment="1" pivotButton="0" quotePrefix="0" xfId="0">
      <alignment horizontal="center" vertical="center"/>
    </xf>
    <xf numFmtId="164" fontId="15" fillId="5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0" fontId="3" fillId="5" borderId="7" applyAlignment="1" pivotButton="0" quotePrefix="0" xfId="0">
      <alignment horizontal="left" vertical="center" wrapText="1"/>
    </xf>
    <xf numFmtId="0" fontId="13" fillId="5" borderId="18" pivotButton="0" quotePrefix="0" xfId="0"/>
    <xf numFmtId="0" fontId="6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6" fillId="0" borderId="7" applyAlignment="1" pivotButton="0" quotePrefix="0" xfId="0">
      <alignment horizontal="left" vertical="center" wrapText="1"/>
    </xf>
    <xf numFmtId="0" fontId="13" fillId="0" borderId="9" pivotButton="0" quotePrefix="0" xfId="0"/>
    <xf numFmtId="0" fontId="2" fillId="0" borderId="0" pivotButton="0" quotePrefix="0" xfId="0"/>
    <xf numFmtId="0" fontId="1" fillId="0" borderId="0" pivotButton="0" quotePrefix="0" xfId="0"/>
    <xf numFmtId="0" fontId="13" fillId="0" borderId="5" pivotButton="0" quotePrefix="0" xfId="0"/>
    <xf numFmtId="0" fontId="6" fillId="0" borderId="12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13" fillId="0" borderId="18" pivotButton="0" quotePrefix="0" xfId="0"/>
    <xf numFmtId="0" fontId="2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N141"/>
  <sheetViews>
    <sheetView topLeftCell="A116" zoomScale="55" workbookViewId="0">
      <selection activeCell="AG138" activeCellId="0" sqref="AG138"/>
    </sheetView>
  </sheetViews>
  <sheetFormatPr baseColWidth="8" defaultColWidth="8.7109375" defaultRowHeight="14.25"/>
  <cols>
    <col width="8.7109375" customWidth="1" style="47" min="1" max="1"/>
    <col width="37.140625" customWidth="1" style="47" min="2" max="2"/>
    <col width="14.85546875" customWidth="1" style="47" min="3" max="3"/>
    <col width="18.5703125" customWidth="1" style="47" min="4" max="4"/>
    <col width="14.85546875" customWidth="1" style="47" min="5" max="29"/>
    <col width="10.28515625" customWidth="1" style="47" min="30" max="30"/>
    <col width="16.5703125" customWidth="1" style="47" min="31" max="31"/>
    <col width="10.7109375" bestFit="1" customWidth="1" style="47" min="32" max="32"/>
    <col width="12.42578125" customWidth="1" style="47" min="33" max="33"/>
    <col width="11.5703125" customWidth="1" style="47" min="34" max="34"/>
    <col width="8.7109375" customWidth="1" style="47" min="35" max="35"/>
    <col width="14.140625" customWidth="1" style="47" min="36" max="36"/>
    <col width="12" customWidth="1" style="47" min="37" max="37"/>
    <col width="13.5703125" customWidth="1" style="47" min="38" max="38"/>
    <col width="27.5703125" customWidth="1" style="48" min="39" max="39"/>
    <col width="36.140625" customWidth="1" style="47" min="40" max="40"/>
    <col width="8.7109375" customWidth="1" style="47" min="41" max="16384"/>
  </cols>
  <sheetData>
    <row r="4" ht="27.75" customHeight="1"/>
    <row r="5" ht="27.75" customHeight="1">
      <c r="B5" s="47" t="inlineStr">
        <is>
          <t>SEF</t>
        </is>
      </c>
      <c r="C5" s="49" t="n">
        <v>2.03</v>
      </c>
      <c r="D5" s="50" t="n">
        <v>3.03</v>
      </c>
      <c r="E5" s="50" t="n">
        <v>4.03</v>
      </c>
      <c r="F5" s="50" t="n">
        <v>5.03</v>
      </c>
      <c r="G5" s="51" t="n">
        <v>6.03</v>
      </c>
      <c r="H5" s="51" t="n">
        <v>7.03</v>
      </c>
      <c r="I5" s="50" t="n">
        <v>9.029999999999999</v>
      </c>
      <c r="J5" s="50" t="n">
        <v>10.03</v>
      </c>
      <c r="K5" s="50" t="n">
        <v>11.03</v>
      </c>
      <c r="L5" s="50" t="n">
        <v>12.03</v>
      </c>
      <c r="M5" s="50" t="n">
        <v>13.03</v>
      </c>
      <c r="N5" s="50" t="n">
        <v>14.03</v>
      </c>
      <c r="O5" s="50" t="n">
        <v>16.03</v>
      </c>
      <c r="P5" s="50" t="n">
        <v>17.03</v>
      </c>
      <c r="Q5" s="50" t="n">
        <v>18.03</v>
      </c>
      <c r="R5" s="50" t="n">
        <v>19.03</v>
      </c>
      <c r="S5" s="50" t="n">
        <v>20.03</v>
      </c>
      <c r="T5" s="50" t="n">
        <v>21.02</v>
      </c>
      <c r="U5" s="50" t="n">
        <v>23.03</v>
      </c>
      <c r="V5" s="50" t="n">
        <v>24.03</v>
      </c>
      <c r="W5" s="50" t="n">
        <v>25.03</v>
      </c>
      <c r="X5" s="52" t="n">
        <v>26.03</v>
      </c>
      <c r="Y5" s="53" t="n">
        <v>27.03</v>
      </c>
      <c r="Z5" s="54" t="n">
        <v>28.02</v>
      </c>
      <c r="AA5" s="53" t="n">
        <v>30.03</v>
      </c>
      <c r="AB5" s="54" t="n">
        <v>31.03</v>
      </c>
      <c r="AC5" s="55" t="inlineStr">
        <is>
          <t xml:space="preserve">VACI TRAN </t>
        </is>
      </c>
      <c r="AD5" s="56" t="inlineStr">
        <is>
          <t>ZILE</t>
        </is>
      </c>
      <c r="AE5" s="57" t="inlineStr">
        <is>
          <t>VACA ZI*160</t>
        </is>
      </c>
      <c r="AF5" s="58" t="inlineStr">
        <is>
          <t xml:space="preserve">DE PLATIT </t>
        </is>
      </c>
      <c r="AG5" s="58" t="inlineStr">
        <is>
          <t>ZILE LUCRATOARE</t>
        </is>
      </c>
      <c r="AH5" s="56" t="inlineStr">
        <is>
          <t>ZILE IN PLUS</t>
        </is>
      </c>
      <c r="AI5" s="56" t="inlineStr">
        <is>
          <t xml:space="preserve">SALAR PE ZI </t>
        </is>
      </c>
      <c r="AJ5" s="59" t="inlineStr">
        <is>
          <t xml:space="preserve">BANI IN PLUS </t>
        </is>
      </c>
      <c r="AK5" s="56" t="inlineStr">
        <is>
          <t xml:space="preserve">SALAR BAZA </t>
        </is>
      </c>
      <c r="AL5" s="56" t="inlineStr">
        <is>
          <t xml:space="preserve">TOTAL </t>
        </is>
      </c>
      <c r="AM5" s="60" t="inlineStr">
        <is>
          <t>Nume și prenume</t>
        </is>
      </c>
      <c r="AN5" s="56" t="inlineStr">
        <is>
          <t xml:space="preserve">PREMIUM SUPLIMENTAR </t>
        </is>
      </c>
    </row>
    <row r="6" ht="44.25" customHeight="1">
      <c r="A6" s="61" t="n">
        <v>1</v>
      </c>
      <c r="B6" s="62" t="inlineStr">
        <is>
          <t xml:space="preserve">CIOCLEA IOAN </t>
        </is>
      </c>
      <c r="C6" s="63" t="n">
        <v>193</v>
      </c>
      <c r="D6" s="63">
        <f>131.5+23/6</f>
        <v/>
      </c>
      <c r="E6" s="64" t="n">
        <v>191</v>
      </c>
      <c r="F6" s="63" t="n">
        <v>191.75</v>
      </c>
      <c r="G6" s="65" t="n">
        <v>0</v>
      </c>
      <c r="H6" s="65" t="n">
        <v>0</v>
      </c>
      <c r="I6" s="63" t="n">
        <v>149</v>
      </c>
      <c r="J6" s="63" t="n">
        <v>47.5</v>
      </c>
      <c r="K6" s="63" t="n">
        <v>97.5</v>
      </c>
      <c r="L6" s="63" t="n">
        <v>146.5</v>
      </c>
      <c r="M6" s="63" t="n">
        <v>194.5</v>
      </c>
      <c r="N6" s="63" t="n">
        <v>188.5</v>
      </c>
      <c r="O6" s="63" t="n">
        <v>93</v>
      </c>
      <c r="P6" s="63" t="n">
        <v>73.5</v>
      </c>
      <c r="Q6" s="63">
        <f>84+6/6</f>
        <v/>
      </c>
      <c r="R6" s="63" t="n">
        <v>144</v>
      </c>
      <c r="S6" s="63">
        <f>141.5+8/6</f>
        <v/>
      </c>
      <c r="T6" s="63" t="n">
        <v>201</v>
      </c>
      <c r="U6" s="63" t="n">
        <v>191.75</v>
      </c>
      <c r="V6" s="63">
        <f>156.25+7/6</f>
        <v/>
      </c>
      <c r="W6" s="63" t="n">
        <v>166</v>
      </c>
      <c r="X6" s="63" t="n">
        <v>144.5</v>
      </c>
      <c r="Y6" s="65" t="n">
        <v>0</v>
      </c>
      <c r="Z6" s="63" t="n">
        <v>200.5</v>
      </c>
      <c r="AA6" s="65" t="n">
        <v>0</v>
      </c>
      <c r="AB6" s="63" t="n">
        <v>141</v>
      </c>
      <c r="AC6" s="66">
        <f>SUM(C6:AB6)</f>
        <v/>
      </c>
      <c r="AD6" s="67" t="n">
        <v>22</v>
      </c>
      <c r="AE6" s="67">
        <f>AD6*166</f>
        <v/>
      </c>
      <c r="AF6" s="67">
        <f>AC6-AE6</f>
        <v/>
      </c>
      <c r="AG6" s="67" t="n">
        <v>26</v>
      </c>
      <c r="AH6" s="67">
        <f>AF6/175</f>
        <v/>
      </c>
      <c r="AI6" s="67">
        <f>AK6/AG6</f>
        <v/>
      </c>
      <c r="AJ6" s="68">
        <f>AI6*AH6</f>
        <v/>
      </c>
      <c r="AK6" s="67" t="n">
        <v>9500</v>
      </c>
      <c r="AL6" s="69">
        <f>AK6+AJ6</f>
        <v/>
      </c>
      <c r="AM6" s="62" t="inlineStr">
        <is>
          <t xml:space="preserve">CIOCLEA IOAN </t>
        </is>
      </c>
      <c r="AN6" s="70" t="n"/>
    </row>
    <row r="7" ht="27.75" customHeight="1">
      <c r="A7" s="71" t="n"/>
      <c r="B7" s="47" t="inlineStr">
        <is>
          <t>transatori</t>
        </is>
      </c>
      <c r="C7" s="72" t="n">
        <v>15</v>
      </c>
      <c r="D7" s="72" t="n">
        <v>14</v>
      </c>
      <c r="E7" s="72" t="n">
        <v>15</v>
      </c>
      <c r="F7" s="72" t="n">
        <v>16</v>
      </c>
      <c r="G7" s="73" t="n">
        <v>0</v>
      </c>
      <c r="H7" s="73" t="n">
        <v>0</v>
      </c>
      <c r="I7" s="72" t="n">
        <v>14</v>
      </c>
      <c r="J7" s="72" t="n">
        <v>9</v>
      </c>
      <c r="K7" s="72" t="n">
        <v>14</v>
      </c>
      <c r="L7" s="72" t="n">
        <v>14</v>
      </c>
      <c r="M7" s="72" t="n">
        <v>15</v>
      </c>
      <c r="N7" s="72" t="n">
        <v>16</v>
      </c>
      <c r="O7" s="72" t="n">
        <v>14</v>
      </c>
      <c r="P7" s="72" t="n">
        <v>8</v>
      </c>
      <c r="Q7" s="72" t="n">
        <v>10</v>
      </c>
      <c r="R7" s="72" t="n">
        <v>13</v>
      </c>
      <c r="S7" s="72" t="n">
        <v>15</v>
      </c>
      <c r="T7" s="72" t="n">
        <v>14</v>
      </c>
      <c r="U7" s="72" t="n">
        <v>15</v>
      </c>
      <c r="V7" s="72" t="n">
        <v>14</v>
      </c>
      <c r="W7" s="72" t="n">
        <v>13</v>
      </c>
      <c r="X7" s="72" t="n">
        <v>14</v>
      </c>
      <c r="Y7" s="73" t="n">
        <v>0</v>
      </c>
      <c r="Z7" s="72" t="n">
        <v>15</v>
      </c>
      <c r="AA7" s="73" t="n">
        <v>0</v>
      </c>
      <c r="AB7" s="72" t="n">
        <v>14</v>
      </c>
    </row>
    <row r="8" ht="27.75" customHeight="1">
      <c r="A8" s="71" t="n"/>
      <c r="B8" s="47" t="inlineStr">
        <is>
          <t>vaci pe om</t>
        </is>
      </c>
      <c r="C8" s="72">
        <f>C6/C7</f>
        <v/>
      </c>
      <c r="D8" s="72">
        <f>D6/D7</f>
        <v/>
      </c>
      <c r="E8" s="72">
        <f>E6/E7</f>
        <v/>
      </c>
      <c r="F8" s="72">
        <f>F6/F7</f>
        <v/>
      </c>
      <c r="G8" s="73" t="n">
        <v>0</v>
      </c>
      <c r="H8" s="73" t="n">
        <v>0</v>
      </c>
      <c r="I8" s="72">
        <f>I6/I7</f>
        <v/>
      </c>
      <c r="J8" s="72">
        <f>J6/J7</f>
        <v/>
      </c>
      <c r="K8" s="72">
        <f>K6/K7</f>
        <v/>
      </c>
      <c r="L8" s="72">
        <f>L6/L7</f>
        <v/>
      </c>
      <c r="M8" s="72">
        <f>M6/M7</f>
        <v/>
      </c>
      <c r="N8" s="72">
        <f>N6/N7</f>
        <v/>
      </c>
      <c r="O8" s="72">
        <f>O6/O7</f>
        <v/>
      </c>
      <c r="P8" s="72">
        <f>P6/P7</f>
        <v/>
      </c>
      <c r="Q8" s="72">
        <f>Q6/Q7</f>
        <v/>
      </c>
      <c r="R8" s="72">
        <f>R6/R7</f>
        <v/>
      </c>
      <c r="S8" s="72">
        <f>S6/S7</f>
        <v/>
      </c>
      <c r="T8" s="72">
        <f>T6/T7</f>
        <v/>
      </c>
      <c r="U8" s="72">
        <f>U6/U7</f>
        <v/>
      </c>
      <c r="V8" s="72">
        <f>V6/V7</f>
        <v/>
      </c>
      <c r="W8" s="72">
        <f>W6/W7</f>
        <v/>
      </c>
      <c r="X8" s="72">
        <f>X6/X7</f>
        <v/>
      </c>
      <c r="Y8" s="73" t="n">
        <v>0</v>
      </c>
      <c r="Z8" s="72">
        <f>Z6/Z7</f>
        <v/>
      </c>
      <c r="AA8" s="73" t="n">
        <v>0</v>
      </c>
      <c r="AB8" s="72">
        <f>AB6/AB7</f>
        <v/>
      </c>
      <c r="AC8" s="48">
        <f>SUM(C8:AB8)</f>
        <v/>
      </c>
      <c r="AE8" s="47" t="inlineStr">
        <is>
          <t>cost /vaca</t>
        </is>
      </c>
      <c r="AG8" s="47">
        <f>AI6/11.5</f>
        <v/>
      </c>
    </row>
    <row r="9" ht="27.75" customHeight="1">
      <c r="A9" s="71" t="n"/>
      <c r="B9" s="47" t="inlineStr">
        <is>
          <t>vaci 160 in 14</t>
        </is>
      </c>
      <c r="C9" s="72" t="n">
        <v>11.5</v>
      </c>
      <c r="D9" s="72" t="n">
        <v>11.5</v>
      </c>
      <c r="E9" s="72" t="n">
        <v>11.5</v>
      </c>
      <c r="F9" s="72" t="n">
        <v>11.5</v>
      </c>
      <c r="G9" s="73" t="n">
        <v>0</v>
      </c>
      <c r="H9" s="73" t="n">
        <v>0</v>
      </c>
      <c r="I9" s="72" t="n">
        <v>11.5</v>
      </c>
      <c r="J9" s="72" t="n">
        <v>11.5</v>
      </c>
      <c r="K9" s="72" t="n">
        <v>11.5</v>
      </c>
      <c r="L9" s="72" t="n">
        <v>11.5</v>
      </c>
      <c r="M9" s="72" t="n">
        <v>11.5</v>
      </c>
      <c r="N9" s="72" t="n">
        <v>11.5</v>
      </c>
      <c r="O9" s="72" t="n">
        <v>11.5</v>
      </c>
      <c r="P9" s="72" t="n">
        <v>11.5</v>
      </c>
      <c r="Q9" s="72" t="n">
        <v>11.5</v>
      </c>
      <c r="R9" s="72" t="n">
        <v>11.5</v>
      </c>
      <c r="S9" s="72" t="n">
        <v>11.5</v>
      </c>
      <c r="T9" s="72" t="n">
        <v>11.5</v>
      </c>
      <c r="U9" s="72" t="n">
        <v>11.5</v>
      </c>
      <c r="V9" s="72" t="n">
        <v>11.5</v>
      </c>
      <c r="W9" s="72" t="n">
        <v>11.5</v>
      </c>
      <c r="X9" s="72" t="n">
        <v>11.5</v>
      </c>
      <c r="Y9" s="73" t="n">
        <v>0</v>
      </c>
      <c r="Z9" s="72" t="n">
        <v>11.5</v>
      </c>
      <c r="AA9" s="73" t="n">
        <v>0</v>
      </c>
      <c r="AB9" s="72" t="n">
        <v>11.5</v>
      </c>
      <c r="AC9" s="48">
        <f>SUM(C9:AB9)</f>
        <v/>
      </c>
      <c r="AE9" s="47" t="inlineStr">
        <is>
          <t>bani  in plus</t>
        </is>
      </c>
      <c r="AG9" s="47">
        <f>AC10*AG8</f>
        <v/>
      </c>
    </row>
    <row r="10" ht="27.75" customHeight="1">
      <c r="A10" s="74" t="n"/>
      <c r="B10" s="75" t="inlineStr">
        <is>
          <t xml:space="preserve">difernta </t>
        </is>
      </c>
      <c r="C10" s="76">
        <f>C8-C9</f>
        <v/>
      </c>
      <c r="D10" s="76">
        <f>D8-D9</f>
        <v/>
      </c>
      <c r="E10" s="76">
        <f>E8-E9</f>
        <v/>
      </c>
      <c r="F10" s="76">
        <f>F8-F9</f>
        <v/>
      </c>
      <c r="G10" s="77">
        <f>G8-G9</f>
        <v/>
      </c>
      <c r="H10" s="77">
        <f>H8-H9</f>
        <v/>
      </c>
      <c r="I10" s="76">
        <f>I8-I9</f>
        <v/>
      </c>
      <c r="J10" s="76">
        <f>J8-J9</f>
        <v/>
      </c>
      <c r="K10" s="76">
        <f>K8-K9</f>
        <v/>
      </c>
      <c r="L10" s="76">
        <f>L8-L9</f>
        <v/>
      </c>
      <c r="M10" s="76">
        <f>M8-M9</f>
        <v/>
      </c>
      <c r="N10" s="76">
        <f>N8-N9</f>
        <v/>
      </c>
      <c r="O10" s="76">
        <f>O8-O9</f>
        <v/>
      </c>
      <c r="P10" s="76">
        <f>P8-P9</f>
        <v/>
      </c>
      <c r="Q10" s="76">
        <f>Q8-Q9</f>
        <v/>
      </c>
      <c r="R10" s="76">
        <f>R8-R9</f>
        <v/>
      </c>
      <c r="S10" s="76">
        <f>S8-S9</f>
        <v/>
      </c>
      <c r="T10" s="76">
        <f>T8-T9</f>
        <v/>
      </c>
      <c r="U10" s="76">
        <f>U8-U9</f>
        <v/>
      </c>
      <c r="V10" s="76">
        <f>V8-V9</f>
        <v/>
      </c>
      <c r="W10" s="76">
        <f>W8-W9</f>
        <v/>
      </c>
      <c r="X10" s="76">
        <f>X8-X9</f>
        <v/>
      </c>
      <c r="Y10" s="77">
        <f>Y8-Y9</f>
        <v/>
      </c>
      <c r="Z10" s="76">
        <f>Z8-Z9</f>
        <v/>
      </c>
      <c r="AA10" s="77">
        <f>AA8-AA9</f>
        <v/>
      </c>
      <c r="AB10" s="76">
        <f>AB8-AB9</f>
        <v/>
      </c>
      <c r="AC10" s="48">
        <f>SUM(C10:AB10)</f>
        <v/>
      </c>
      <c r="AH10" s="78">
        <f>AF10/175</f>
        <v/>
      </c>
    </row>
    <row r="11" ht="27.75" customHeight="1"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</row>
    <row r="12" ht="27.75" customHeight="1">
      <c r="C12" s="49" t="n">
        <v>2.03</v>
      </c>
      <c r="D12" s="50" t="n">
        <v>3.03</v>
      </c>
      <c r="E12" s="50" t="n">
        <v>4.03</v>
      </c>
      <c r="F12" s="50" t="n">
        <v>5.03</v>
      </c>
      <c r="G12" s="50" t="n">
        <v>6.03</v>
      </c>
      <c r="H12" s="50" t="n">
        <v>7.03</v>
      </c>
      <c r="I12" s="50" t="n">
        <v>9.029999999999999</v>
      </c>
      <c r="J12" s="50" t="n">
        <v>10.03</v>
      </c>
      <c r="K12" s="50" t="n">
        <v>11.03</v>
      </c>
      <c r="L12" s="50" t="n">
        <v>12.03</v>
      </c>
      <c r="M12" s="50" t="n">
        <v>13.03</v>
      </c>
      <c r="N12" s="50" t="n">
        <v>14.03</v>
      </c>
      <c r="O12" s="50" t="n">
        <v>16.03</v>
      </c>
      <c r="P12" s="50" t="n">
        <v>17.03</v>
      </c>
      <c r="Q12" s="51" t="n">
        <v>18.03</v>
      </c>
      <c r="R12" s="50" t="n">
        <v>19.03</v>
      </c>
      <c r="S12" s="50" t="n">
        <v>20.03</v>
      </c>
      <c r="T12" s="50" t="n">
        <v>21.02</v>
      </c>
      <c r="U12" s="50" t="n">
        <v>23.03</v>
      </c>
      <c r="V12" s="50" t="n">
        <v>24.03</v>
      </c>
      <c r="W12" s="50" t="n">
        <v>25.03</v>
      </c>
      <c r="X12" s="79" t="n">
        <v>26.03</v>
      </c>
      <c r="Y12" s="54" t="n">
        <v>27.03</v>
      </c>
      <c r="Z12" s="54" t="n">
        <v>28.02</v>
      </c>
      <c r="AA12" s="54" t="n">
        <v>30.03</v>
      </c>
      <c r="AB12" s="54" t="n">
        <v>31.03</v>
      </c>
      <c r="AC12" s="55" t="inlineStr">
        <is>
          <t xml:space="preserve">VACI TRAN </t>
        </is>
      </c>
      <c r="AD12" s="56" t="inlineStr">
        <is>
          <t>ZILE</t>
        </is>
      </c>
      <c r="AE12" s="57" t="inlineStr">
        <is>
          <t>VACA ZI*160</t>
        </is>
      </c>
      <c r="AF12" s="58" t="inlineStr">
        <is>
          <t xml:space="preserve">DE PLATIT </t>
        </is>
      </c>
      <c r="AG12" s="58" t="inlineStr">
        <is>
          <t>ZILE LUCRATOARE</t>
        </is>
      </c>
      <c r="AH12" s="56" t="inlineStr">
        <is>
          <t>ZILE IN PLUS</t>
        </is>
      </c>
      <c r="AI12" s="56" t="inlineStr">
        <is>
          <t xml:space="preserve">SALAR PE ZI </t>
        </is>
      </c>
      <c r="AJ12" s="59" t="inlineStr">
        <is>
          <t xml:space="preserve">BANI IN PLUS </t>
        </is>
      </c>
      <c r="AK12" s="56" t="inlineStr">
        <is>
          <t xml:space="preserve">SALAR BAZA </t>
        </is>
      </c>
      <c r="AL12" s="56" t="inlineStr">
        <is>
          <t xml:space="preserve">TOTAL </t>
        </is>
      </c>
      <c r="AM12" s="60" t="inlineStr">
        <is>
          <t>Nume și prenume</t>
        </is>
      </c>
      <c r="AN12" s="56" t="inlineStr">
        <is>
          <t xml:space="preserve">PREMIUM SUPLIMENTAR </t>
        </is>
      </c>
    </row>
    <row r="13" ht="45.75" customHeight="1">
      <c r="A13" s="80" t="n">
        <v>2</v>
      </c>
      <c r="B13" s="81" t="inlineStr">
        <is>
          <t>CIOCLEA CRISTIAN</t>
        </is>
      </c>
      <c r="C13" s="63" t="n">
        <v>193</v>
      </c>
      <c r="D13" s="63">
        <f>131.5+23/6</f>
        <v/>
      </c>
      <c r="E13" s="64" t="n">
        <v>191</v>
      </c>
      <c r="F13" s="63" t="n">
        <v>191.75</v>
      </c>
      <c r="G13" s="63" t="n">
        <v>183.5</v>
      </c>
      <c r="H13" s="63" t="n">
        <v>173</v>
      </c>
      <c r="I13" s="63" t="n">
        <v>149</v>
      </c>
      <c r="J13" s="63" t="n">
        <v>47.5</v>
      </c>
      <c r="K13" s="63" t="n">
        <v>97.5</v>
      </c>
      <c r="L13" s="63" t="n">
        <v>146.5</v>
      </c>
      <c r="M13" s="63" t="n">
        <v>194.5</v>
      </c>
      <c r="N13" s="63" t="n">
        <v>188.5</v>
      </c>
      <c r="O13" s="63" t="n">
        <v>93</v>
      </c>
      <c r="P13" s="63" t="n">
        <v>73.5</v>
      </c>
      <c r="Q13" s="65" t="n">
        <v>0</v>
      </c>
      <c r="R13" s="63" t="n">
        <v>144</v>
      </c>
      <c r="S13" s="63">
        <f>141.5+8/6</f>
        <v/>
      </c>
      <c r="T13" s="63" t="n">
        <v>201</v>
      </c>
      <c r="U13" s="63" t="n">
        <v>191.75</v>
      </c>
      <c r="V13" s="63">
        <f>156.25+7/6</f>
        <v/>
      </c>
      <c r="W13" s="63" t="n">
        <v>166</v>
      </c>
      <c r="X13" s="65" t="n">
        <v>0</v>
      </c>
      <c r="Y13" s="63">
        <f>104.5+30/6</f>
        <v/>
      </c>
      <c r="Z13" s="63" t="n">
        <v>200.5</v>
      </c>
      <c r="AA13" s="63" t="n">
        <v>147</v>
      </c>
      <c r="AB13" s="63" t="n">
        <v>141</v>
      </c>
      <c r="AC13" s="66">
        <f>SUM(C13:AB13)</f>
        <v/>
      </c>
      <c r="AD13" s="67" t="n">
        <v>24</v>
      </c>
      <c r="AE13" s="67">
        <f>AD13*166</f>
        <v/>
      </c>
      <c r="AF13" s="67">
        <f>AC13-AE13</f>
        <v/>
      </c>
      <c r="AG13" s="67" t="n">
        <v>26</v>
      </c>
      <c r="AH13" s="67">
        <f>AF13/175</f>
        <v/>
      </c>
      <c r="AI13" s="67">
        <f>AK13/AG13</f>
        <v/>
      </c>
      <c r="AJ13" s="68">
        <f>AI13*AH13</f>
        <v/>
      </c>
      <c r="AK13" s="67" t="n">
        <v>6300</v>
      </c>
      <c r="AL13" s="69">
        <f>AK13+AJ13</f>
        <v/>
      </c>
      <c r="AM13" s="82" t="inlineStr">
        <is>
          <t>CIOCLEA CRISTIAN</t>
        </is>
      </c>
      <c r="AN13" s="70" t="n"/>
    </row>
    <row r="14" ht="27.75" customHeight="1">
      <c r="A14" s="71" t="n"/>
      <c r="B14" s="47" t="inlineStr">
        <is>
          <t>transatori</t>
        </is>
      </c>
      <c r="C14" s="72" t="n">
        <v>15</v>
      </c>
      <c r="D14" s="72" t="n">
        <v>14</v>
      </c>
      <c r="E14" s="72" t="n">
        <v>15</v>
      </c>
      <c r="F14" s="72" t="n">
        <v>16</v>
      </c>
      <c r="G14" s="72" t="n">
        <v>15</v>
      </c>
      <c r="H14" s="72" t="n">
        <v>14</v>
      </c>
      <c r="I14" s="72" t="n">
        <v>14</v>
      </c>
      <c r="J14" s="72" t="n">
        <v>9</v>
      </c>
      <c r="K14" s="72" t="n">
        <v>14</v>
      </c>
      <c r="L14" s="72" t="n">
        <v>14</v>
      </c>
      <c r="M14" s="72" t="n">
        <v>15</v>
      </c>
      <c r="N14" s="72" t="n">
        <v>16</v>
      </c>
      <c r="O14" s="72" t="n">
        <v>14</v>
      </c>
      <c r="P14" s="72" t="n">
        <v>8</v>
      </c>
      <c r="Q14" s="73" t="n">
        <v>0</v>
      </c>
      <c r="R14" s="72" t="n">
        <v>13</v>
      </c>
      <c r="S14" s="72" t="n">
        <v>15</v>
      </c>
      <c r="T14" s="72" t="n">
        <v>14</v>
      </c>
      <c r="U14" s="72" t="n">
        <v>15</v>
      </c>
      <c r="V14" s="72" t="n">
        <v>14</v>
      </c>
      <c r="W14" s="72" t="n">
        <v>13</v>
      </c>
      <c r="X14" s="73" t="n">
        <v>0</v>
      </c>
      <c r="Y14" s="72" t="n">
        <v>14</v>
      </c>
      <c r="Z14" s="72" t="n">
        <v>15</v>
      </c>
      <c r="AA14" s="72" t="n">
        <v>14</v>
      </c>
      <c r="AB14" s="72" t="n">
        <v>14</v>
      </c>
    </row>
    <row r="15" ht="27.75" customHeight="1">
      <c r="A15" s="71" t="n"/>
      <c r="B15" s="47" t="inlineStr">
        <is>
          <t>vaci pe om</t>
        </is>
      </c>
      <c r="C15" s="72">
        <f>C13/C14</f>
        <v/>
      </c>
      <c r="D15" s="72">
        <f>D13/D14</f>
        <v/>
      </c>
      <c r="E15" s="72">
        <f>E13/E14</f>
        <v/>
      </c>
      <c r="F15" s="72">
        <f>F13/F14</f>
        <v/>
      </c>
      <c r="G15" s="72">
        <f>G13/G14</f>
        <v/>
      </c>
      <c r="H15" s="72">
        <f>H13/H14</f>
        <v/>
      </c>
      <c r="I15" s="72">
        <f>I13/I14</f>
        <v/>
      </c>
      <c r="J15" s="72">
        <f>J13/J14</f>
        <v/>
      </c>
      <c r="K15" s="72">
        <f>K13/K14</f>
        <v/>
      </c>
      <c r="L15" s="72">
        <f>L13/L14</f>
        <v/>
      </c>
      <c r="M15" s="72">
        <f>M13/M14</f>
        <v/>
      </c>
      <c r="N15" s="72">
        <f>N13/N14</f>
        <v/>
      </c>
      <c r="O15" s="72">
        <f>O13/O14</f>
        <v/>
      </c>
      <c r="P15" s="72">
        <f>P13/P14</f>
        <v/>
      </c>
      <c r="Q15" s="73" t="n">
        <v>0</v>
      </c>
      <c r="R15" s="72">
        <f>R13/R14</f>
        <v/>
      </c>
      <c r="S15" s="72">
        <f>S13/S14</f>
        <v/>
      </c>
      <c r="T15" s="72">
        <f>T13/T14</f>
        <v/>
      </c>
      <c r="U15" s="72">
        <f>U13/U14</f>
        <v/>
      </c>
      <c r="V15" s="72">
        <f>V13/V14</f>
        <v/>
      </c>
      <c r="W15" s="72">
        <f>W13/W14</f>
        <v/>
      </c>
      <c r="X15" s="73" t="n">
        <v>0</v>
      </c>
      <c r="Y15" s="72">
        <f>Y13/Y14</f>
        <v/>
      </c>
      <c r="Z15" s="72">
        <f>Z13/Z14</f>
        <v/>
      </c>
      <c r="AA15" s="72">
        <f>AA13/AA14</f>
        <v/>
      </c>
      <c r="AB15" s="72">
        <f>AB13/AB14</f>
        <v/>
      </c>
      <c r="AC15" s="48">
        <f>SUM(C15:AB15)</f>
        <v/>
      </c>
      <c r="AE15" s="47" t="inlineStr">
        <is>
          <t>cost /vaca</t>
        </is>
      </c>
      <c r="AG15" s="47">
        <f>AI13/11.429</f>
        <v/>
      </c>
    </row>
    <row r="16" ht="27.75" customHeight="1">
      <c r="A16" s="71" t="n"/>
      <c r="B16" s="47" t="inlineStr">
        <is>
          <t>vaci 160 in 14</t>
        </is>
      </c>
      <c r="C16" s="72" t="n">
        <v>11.5</v>
      </c>
      <c r="D16" s="72" t="n">
        <v>11.5</v>
      </c>
      <c r="E16" s="72" t="n">
        <v>11.5</v>
      </c>
      <c r="F16" s="72" t="n">
        <v>11.5</v>
      </c>
      <c r="G16" s="72" t="n">
        <v>11.5</v>
      </c>
      <c r="H16" s="72" t="n">
        <v>11.5</v>
      </c>
      <c r="I16" s="72" t="n">
        <v>11.5</v>
      </c>
      <c r="J16" s="72" t="n">
        <v>11.5</v>
      </c>
      <c r="K16" s="72" t="n">
        <v>11.5</v>
      </c>
      <c r="L16" s="72" t="n">
        <v>11.5</v>
      </c>
      <c r="M16" s="72" t="n">
        <v>11.5</v>
      </c>
      <c r="N16" s="72" t="n">
        <v>11.5</v>
      </c>
      <c r="O16" s="72" t="n">
        <v>11.5</v>
      </c>
      <c r="P16" s="72" t="n">
        <v>11.5</v>
      </c>
      <c r="Q16" s="73" t="n">
        <v>0</v>
      </c>
      <c r="R16" s="72" t="n">
        <v>11.5</v>
      </c>
      <c r="S16" s="72" t="n">
        <v>11.5</v>
      </c>
      <c r="T16" s="72" t="n">
        <v>11.5</v>
      </c>
      <c r="U16" s="72" t="n">
        <v>11.5</v>
      </c>
      <c r="V16" s="72" t="n">
        <v>11.5</v>
      </c>
      <c r="W16" s="72" t="n">
        <v>11.5</v>
      </c>
      <c r="X16" s="73" t="n">
        <v>0</v>
      </c>
      <c r="Y16" s="72" t="n">
        <v>11.5</v>
      </c>
      <c r="Z16" s="72" t="n">
        <v>11.5</v>
      </c>
      <c r="AA16" s="72" t="n">
        <v>11.5</v>
      </c>
      <c r="AB16" s="72" t="n">
        <v>11.5</v>
      </c>
      <c r="AC16" s="48">
        <f>SUM(C16:AB16)</f>
        <v/>
      </c>
      <c r="AE16" s="47" t="inlineStr">
        <is>
          <t>bani  in plus</t>
        </is>
      </c>
      <c r="AG16" s="47">
        <f>AC17*AG15</f>
        <v/>
      </c>
    </row>
    <row r="17" ht="27.75" customHeight="1">
      <c r="A17" s="74" t="n"/>
      <c r="B17" s="75" t="inlineStr">
        <is>
          <t xml:space="preserve">difernta </t>
        </is>
      </c>
      <c r="C17" s="76">
        <f>C15-C16</f>
        <v/>
      </c>
      <c r="D17" s="76">
        <f>D15-D16</f>
        <v/>
      </c>
      <c r="E17" s="76">
        <f>E15-E16</f>
        <v/>
      </c>
      <c r="F17" s="76">
        <f>F15-F16</f>
        <v/>
      </c>
      <c r="G17" s="76">
        <f>G15-G16</f>
        <v/>
      </c>
      <c r="H17" s="76">
        <f>H15-H16</f>
        <v/>
      </c>
      <c r="I17" s="76">
        <f>I15-I16</f>
        <v/>
      </c>
      <c r="J17" s="76">
        <f>J15-J16</f>
        <v/>
      </c>
      <c r="K17" s="76">
        <f>K15-K16</f>
        <v/>
      </c>
      <c r="L17" s="76">
        <f>L15-L16</f>
        <v/>
      </c>
      <c r="M17" s="76">
        <f>M15-M16</f>
        <v/>
      </c>
      <c r="N17" s="76">
        <f>N15-N16</f>
        <v/>
      </c>
      <c r="O17" s="76">
        <f>O15-O16</f>
        <v/>
      </c>
      <c r="P17" s="76">
        <f>P15-P16</f>
        <v/>
      </c>
      <c r="Q17" s="77">
        <f>Q15-Q16</f>
        <v/>
      </c>
      <c r="R17" s="76">
        <f>R15-R16</f>
        <v/>
      </c>
      <c r="S17" s="76">
        <f>S15-S16</f>
        <v/>
      </c>
      <c r="T17" s="76">
        <f>T15-T16</f>
        <v/>
      </c>
      <c r="U17" s="76">
        <f>U15-U16</f>
        <v/>
      </c>
      <c r="V17" s="76">
        <f>V15-V16</f>
        <v/>
      </c>
      <c r="W17" s="76">
        <f>W15-W16</f>
        <v/>
      </c>
      <c r="X17" s="77">
        <f>X15-X16</f>
        <v/>
      </c>
      <c r="Y17" s="76">
        <f>Y15-Y16</f>
        <v/>
      </c>
      <c r="Z17" s="76">
        <f>Z15-Z16</f>
        <v/>
      </c>
      <c r="AA17" s="76">
        <f>AA15-AA16</f>
        <v/>
      </c>
      <c r="AB17" s="76">
        <f>AB15-AB16</f>
        <v/>
      </c>
      <c r="AC17" s="48">
        <f>SUM(C17:AB17)</f>
        <v/>
      </c>
    </row>
    <row r="18" ht="27.75" customHeight="1"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</row>
    <row r="19" ht="27.75" customHeight="1"/>
    <row r="20" ht="27.75" customHeight="1">
      <c r="B20" s="47" t="inlineStr">
        <is>
          <t xml:space="preserve">PULPA </t>
        </is>
      </c>
      <c r="C20" s="49" t="n">
        <v>2.03</v>
      </c>
      <c r="D20" s="50" t="n">
        <v>3.03</v>
      </c>
      <c r="E20" s="50" t="n">
        <v>4.03</v>
      </c>
      <c r="F20" s="50" t="n">
        <v>5.03</v>
      </c>
      <c r="G20" s="50" t="n">
        <v>6.03</v>
      </c>
      <c r="H20" s="50" t="n">
        <v>7.03</v>
      </c>
      <c r="I20" s="50" t="n">
        <v>9.029999999999999</v>
      </c>
      <c r="J20" s="50" t="n">
        <v>10.03</v>
      </c>
      <c r="K20" s="50" t="n">
        <v>11.03</v>
      </c>
      <c r="L20" s="50" t="n">
        <v>12.03</v>
      </c>
      <c r="M20" s="51" t="n">
        <v>13.03</v>
      </c>
      <c r="N20" s="50" t="n">
        <v>14.03</v>
      </c>
      <c r="O20" s="50" t="n">
        <v>16.03</v>
      </c>
      <c r="P20" s="50" t="n">
        <v>17.03</v>
      </c>
      <c r="Q20" s="50" t="n">
        <v>18.03</v>
      </c>
      <c r="R20" s="50" t="n">
        <v>19.03</v>
      </c>
      <c r="S20" s="50" t="n">
        <v>20.03</v>
      </c>
      <c r="T20" s="50" t="n">
        <v>21.02</v>
      </c>
      <c r="U20" s="50" t="n">
        <v>23.03</v>
      </c>
      <c r="V20" s="50" t="n">
        <v>24.03</v>
      </c>
      <c r="W20" s="51" t="n">
        <v>25.03</v>
      </c>
      <c r="X20" s="52" t="n">
        <v>26.03</v>
      </c>
      <c r="Y20" s="54" t="n">
        <v>27.03</v>
      </c>
      <c r="Z20" s="54" t="n">
        <v>28.02</v>
      </c>
      <c r="AA20" s="54" t="n">
        <v>30.03</v>
      </c>
      <c r="AB20" s="54" t="n">
        <v>31.03</v>
      </c>
      <c r="AC20" s="55" t="inlineStr">
        <is>
          <t xml:space="preserve">VACI TRAN </t>
        </is>
      </c>
      <c r="AD20" s="56" t="inlineStr">
        <is>
          <t>ZILE</t>
        </is>
      </c>
      <c r="AE20" s="57" t="inlineStr">
        <is>
          <t>VACA ZI*160</t>
        </is>
      </c>
      <c r="AF20" s="58" t="inlineStr">
        <is>
          <t xml:space="preserve">DE PLATIT </t>
        </is>
      </c>
      <c r="AG20" s="58" t="inlineStr">
        <is>
          <t>ZILE LUCRATOARE</t>
        </is>
      </c>
      <c r="AH20" s="56" t="inlineStr">
        <is>
          <t>ZILE IN PLUS</t>
        </is>
      </c>
      <c r="AI20" s="56" t="inlineStr">
        <is>
          <t xml:space="preserve">SALAR PE ZI </t>
        </is>
      </c>
      <c r="AJ20" s="59" t="inlineStr">
        <is>
          <t xml:space="preserve">BANI IN PLUS </t>
        </is>
      </c>
      <c r="AK20" s="56" t="inlineStr">
        <is>
          <t xml:space="preserve">SALAR BAZA </t>
        </is>
      </c>
      <c r="AL20" s="56" t="inlineStr">
        <is>
          <t xml:space="preserve">TOTAL </t>
        </is>
      </c>
      <c r="AM20" s="60" t="inlineStr">
        <is>
          <t>Nume și prenume</t>
        </is>
      </c>
      <c r="AN20" s="56" t="inlineStr">
        <is>
          <t xml:space="preserve">PREMIUM SUPLIMENTAR </t>
        </is>
      </c>
    </row>
    <row r="21" ht="48" customHeight="1">
      <c r="A21" s="61" t="n">
        <v>3</v>
      </c>
      <c r="B21" s="62" t="inlineStr">
        <is>
          <t>COJOCARIU SERGIU</t>
        </is>
      </c>
      <c r="C21" s="63" t="n">
        <v>193</v>
      </c>
      <c r="D21" s="63">
        <f>131.5+23/6</f>
        <v/>
      </c>
      <c r="E21" s="64" t="n">
        <v>191</v>
      </c>
      <c r="F21" s="63" t="n">
        <v>191.75</v>
      </c>
      <c r="G21" s="63" t="n">
        <v>183.5</v>
      </c>
      <c r="H21" s="63" t="n">
        <v>173</v>
      </c>
      <c r="I21" s="63" t="n">
        <v>149</v>
      </c>
      <c r="J21" s="63" t="n">
        <v>47.5</v>
      </c>
      <c r="K21" s="63" t="n">
        <v>97.5</v>
      </c>
      <c r="L21" s="63" t="n">
        <v>146.5</v>
      </c>
      <c r="M21" s="65" t="n">
        <v>0</v>
      </c>
      <c r="N21" s="63" t="n">
        <v>188.5</v>
      </c>
      <c r="O21" s="63" t="n">
        <v>93</v>
      </c>
      <c r="P21" s="63" t="n">
        <v>73.5</v>
      </c>
      <c r="Q21" s="63">
        <f>84+6/6</f>
        <v/>
      </c>
      <c r="R21" s="63" t="n">
        <v>144</v>
      </c>
      <c r="S21" s="63">
        <f>141.5+8/6</f>
        <v/>
      </c>
      <c r="T21" s="63" t="n">
        <v>201</v>
      </c>
      <c r="U21" s="63" t="n">
        <v>191.75</v>
      </c>
      <c r="V21" s="63">
        <f>156.25+7/6</f>
        <v/>
      </c>
      <c r="W21" s="65" t="n">
        <v>0</v>
      </c>
      <c r="X21" s="63" t="n">
        <v>144.5</v>
      </c>
      <c r="Y21" s="63">
        <f>104.5+30/6</f>
        <v/>
      </c>
      <c r="Z21" s="63" t="n">
        <v>200.5</v>
      </c>
      <c r="AA21" s="63" t="n">
        <v>147</v>
      </c>
      <c r="AB21" s="63" t="n">
        <v>141</v>
      </c>
      <c r="AC21" s="66">
        <f>SUM(C21:AB21)</f>
        <v/>
      </c>
      <c r="AD21" s="67" t="n">
        <v>24</v>
      </c>
      <c r="AE21" s="67">
        <f>AD21*166</f>
        <v/>
      </c>
      <c r="AF21" s="67">
        <f>AC21-AE21</f>
        <v/>
      </c>
      <c r="AG21" s="67" t="n">
        <v>26</v>
      </c>
      <c r="AH21" s="67">
        <f>AF21/175</f>
        <v/>
      </c>
      <c r="AI21" s="67">
        <f>AK21/AG21</f>
        <v/>
      </c>
      <c r="AJ21" s="68">
        <f>AI21*AH21</f>
        <v/>
      </c>
      <c r="AK21" s="67" t="n">
        <v>9500</v>
      </c>
      <c r="AL21" s="69">
        <f>AK21+AJ21</f>
        <v/>
      </c>
      <c r="AM21" s="62" t="inlineStr">
        <is>
          <t>COJOCARIU SERGIU</t>
        </is>
      </c>
      <c r="AN21" s="83" t="n"/>
    </row>
    <row r="22" ht="27.75" customHeight="1">
      <c r="A22" s="71" t="n"/>
      <c r="B22" s="48" t="n"/>
      <c r="C22" s="72" t="n">
        <v>15</v>
      </c>
      <c r="D22" s="72" t="n">
        <v>14</v>
      </c>
      <c r="E22" s="72" t="n">
        <v>15</v>
      </c>
      <c r="F22" s="72" t="n">
        <v>16</v>
      </c>
      <c r="G22" s="72" t="n">
        <v>15</v>
      </c>
      <c r="H22" s="72" t="n">
        <v>14</v>
      </c>
      <c r="I22" s="72" t="n">
        <v>14</v>
      </c>
      <c r="J22" s="72" t="n">
        <v>9</v>
      </c>
      <c r="K22" s="72" t="n">
        <v>14</v>
      </c>
      <c r="L22" s="72" t="n">
        <v>14</v>
      </c>
      <c r="M22" s="73" t="n">
        <v>0</v>
      </c>
      <c r="N22" s="72" t="n">
        <v>16</v>
      </c>
      <c r="O22" s="72" t="n">
        <v>14</v>
      </c>
      <c r="P22" s="72" t="n">
        <v>8</v>
      </c>
      <c r="Q22" s="72" t="n">
        <v>10</v>
      </c>
      <c r="R22" s="72" t="n">
        <v>13</v>
      </c>
      <c r="S22" s="72" t="n">
        <v>15</v>
      </c>
      <c r="T22" s="72" t="n">
        <v>14</v>
      </c>
      <c r="U22" s="72" t="n">
        <v>15</v>
      </c>
      <c r="V22" s="72" t="n">
        <v>14</v>
      </c>
      <c r="W22" s="73" t="n">
        <v>0</v>
      </c>
      <c r="X22" s="72" t="n">
        <v>14</v>
      </c>
      <c r="Y22" s="72" t="n">
        <v>14</v>
      </c>
      <c r="Z22" s="72" t="n">
        <v>15</v>
      </c>
      <c r="AA22" s="72" t="n">
        <v>14</v>
      </c>
      <c r="AB22" s="72" t="n">
        <v>14</v>
      </c>
    </row>
    <row r="23" ht="27.75" customHeight="1">
      <c r="A23" s="71" t="n"/>
      <c r="B23" s="48" t="inlineStr">
        <is>
          <t>vaci pe om</t>
        </is>
      </c>
      <c r="C23" s="72">
        <f>C21/C22</f>
        <v/>
      </c>
      <c r="D23" s="72">
        <f>D21/D22</f>
        <v/>
      </c>
      <c r="E23" s="72">
        <f>E21/E22</f>
        <v/>
      </c>
      <c r="F23" s="72">
        <f>F21/F22</f>
        <v/>
      </c>
      <c r="G23" s="72">
        <f>G21/G22</f>
        <v/>
      </c>
      <c r="H23" s="72">
        <f>H21/H22</f>
        <v/>
      </c>
      <c r="I23" s="72">
        <f>I21/I22</f>
        <v/>
      </c>
      <c r="J23" s="72">
        <f>J21/J22</f>
        <v/>
      </c>
      <c r="K23" s="72">
        <f>K21/K22</f>
        <v/>
      </c>
      <c r="L23" s="72">
        <f>L21/L22</f>
        <v/>
      </c>
      <c r="M23" s="73" t="n">
        <v>0</v>
      </c>
      <c r="N23" s="72">
        <f>N21/N22</f>
        <v/>
      </c>
      <c r="O23" s="72">
        <f>O21/O22</f>
        <v/>
      </c>
      <c r="P23" s="72">
        <f>P21/P22</f>
        <v/>
      </c>
      <c r="Q23" s="72">
        <f>Q21/Q22</f>
        <v/>
      </c>
      <c r="R23" s="72">
        <f>R21/R22</f>
        <v/>
      </c>
      <c r="S23" s="72">
        <f>S21/S22</f>
        <v/>
      </c>
      <c r="T23" s="72">
        <f>T21/T22</f>
        <v/>
      </c>
      <c r="U23" s="72">
        <f>U21/U22</f>
        <v/>
      </c>
      <c r="V23" s="72">
        <f>V21/V22</f>
        <v/>
      </c>
      <c r="W23" s="73" t="n">
        <v>0</v>
      </c>
      <c r="X23" s="72">
        <f>X21/X22</f>
        <v/>
      </c>
      <c r="Y23" s="72">
        <f>Y21/Y22</f>
        <v/>
      </c>
      <c r="Z23" s="72">
        <f>Z21/Z22</f>
        <v/>
      </c>
      <c r="AA23" s="72">
        <f>AA21/AA22</f>
        <v/>
      </c>
      <c r="AB23" s="72">
        <f>AB21/AB22</f>
        <v/>
      </c>
      <c r="AC23" s="48">
        <f>SUM(C23:AB23)</f>
        <v/>
      </c>
      <c r="AE23" s="47" t="inlineStr">
        <is>
          <t>cost /vaca</t>
        </is>
      </c>
      <c r="AG23" s="47">
        <f>AI21/11.5</f>
        <v/>
      </c>
    </row>
    <row r="24" ht="27.75" customHeight="1">
      <c r="A24" s="71" t="n"/>
      <c r="B24" s="48" t="inlineStr">
        <is>
          <t>vaci 160 in 14</t>
        </is>
      </c>
      <c r="C24" s="72" t="n">
        <v>11.5</v>
      </c>
      <c r="D24" s="72" t="n">
        <v>11.5</v>
      </c>
      <c r="E24" s="72" t="n">
        <v>11.5</v>
      </c>
      <c r="F24" s="72" t="n">
        <v>11.5</v>
      </c>
      <c r="G24" s="72" t="n">
        <v>11.5</v>
      </c>
      <c r="H24" s="72" t="n">
        <v>11.5</v>
      </c>
      <c r="I24" s="72" t="n">
        <v>11.5</v>
      </c>
      <c r="J24" s="72" t="n">
        <v>11.5</v>
      </c>
      <c r="K24" s="72" t="n">
        <v>11.5</v>
      </c>
      <c r="L24" s="72" t="n">
        <v>11.5</v>
      </c>
      <c r="M24" s="73" t="n">
        <v>0</v>
      </c>
      <c r="N24" s="72" t="n">
        <v>11.5</v>
      </c>
      <c r="O24" s="72" t="n">
        <v>11.5</v>
      </c>
      <c r="P24" s="72" t="n">
        <v>11.5</v>
      </c>
      <c r="Q24" s="72" t="n">
        <v>11.5</v>
      </c>
      <c r="R24" s="72" t="n">
        <v>11.5</v>
      </c>
      <c r="S24" s="72" t="n">
        <v>11.5</v>
      </c>
      <c r="T24" s="72" t="n">
        <v>11.5</v>
      </c>
      <c r="U24" s="72" t="n">
        <v>11.5</v>
      </c>
      <c r="V24" s="72" t="n">
        <v>11.5</v>
      </c>
      <c r="W24" s="73" t="n">
        <v>0</v>
      </c>
      <c r="X24" s="72" t="n">
        <v>11.5</v>
      </c>
      <c r="Y24" s="72" t="n">
        <v>11.5</v>
      </c>
      <c r="Z24" s="72" t="n">
        <v>11.5</v>
      </c>
      <c r="AA24" s="72" t="n">
        <v>11.5</v>
      </c>
      <c r="AB24" s="72" t="n">
        <v>11.5</v>
      </c>
      <c r="AC24" s="48">
        <f>SUM(C24:AB24)</f>
        <v/>
      </c>
      <c r="AE24" s="47" t="inlineStr">
        <is>
          <t>bani  in plus</t>
        </is>
      </c>
      <c r="AG24" s="47">
        <f>AC25*AG23</f>
        <v/>
      </c>
      <c r="AN24" s="47" t="inlineStr">
        <is>
          <t> </t>
        </is>
      </c>
    </row>
    <row r="25" ht="27.75" customHeight="1">
      <c r="A25" s="74" t="n"/>
      <c r="B25" s="76" t="inlineStr">
        <is>
          <t xml:space="preserve">difernta </t>
        </is>
      </c>
      <c r="C25" s="76">
        <f>C23-C24</f>
        <v/>
      </c>
      <c r="D25" s="76">
        <f>D23-D24</f>
        <v/>
      </c>
      <c r="E25" s="76">
        <f>E23-E24</f>
        <v/>
      </c>
      <c r="F25" s="76">
        <f>F23-F24</f>
        <v/>
      </c>
      <c r="G25" s="76">
        <f>G23-G24</f>
        <v/>
      </c>
      <c r="H25" s="76">
        <f>H23-H24</f>
        <v/>
      </c>
      <c r="I25" s="76">
        <f>I23-I24</f>
        <v/>
      </c>
      <c r="J25" s="76">
        <f>J23-J24</f>
        <v/>
      </c>
      <c r="K25" s="76">
        <f>K23-K24</f>
        <v/>
      </c>
      <c r="L25" s="76">
        <f>L23-L24</f>
        <v/>
      </c>
      <c r="M25" s="77">
        <f>M23-M24</f>
        <v/>
      </c>
      <c r="N25" s="76">
        <f>N23-N24</f>
        <v/>
      </c>
      <c r="O25" s="76">
        <f>O23-O24</f>
        <v/>
      </c>
      <c r="P25" s="76">
        <f>P23-P24</f>
        <v/>
      </c>
      <c r="Q25" s="76">
        <f>Q23-Q24</f>
        <v/>
      </c>
      <c r="R25" s="76">
        <f>R23-R24</f>
        <v/>
      </c>
      <c r="S25" s="76">
        <f>S23-S24</f>
        <v/>
      </c>
      <c r="T25" s="76">
        <f>T23-T24</f>
        <v/>
      </c>
      <c r="U25" s="76">
        <f>U23-U24</f>
        <v/>
      </c>
      <c r="V25" s="76">
        <f>V23-V24</f>
        <v/>
      </c>
      <c r="W25" s="77">
        <f>W23-W24</f>
        <v/>
      </c>
      <c r="X25" s="76">
        <f>X23-X24</f>
        <v/>
      </c>
      <c r="Y25" s="76">
        <f>Y23-Y24</f>
        <v/>
      </c>
      <c r="Z25" s="76">
        <f>Z23-Z24</f>
        <v/>
      </c>
      <c r="AA25" s="76">
        <f>AA23-AA24</f>
        <v/>
      </c>
      <c r="AB25" s="76">
        <f>AB23-AB24</f>
        <v/>
      </c>
      <c r="AC25" s="48">
        <f>SUM(C25:AB25)</f>
        <v/>
      </c>
      <c r="AJ25" s="47">
        <f>25*160</f>
        <v/>
      </c>
    </row>
    <row r="26" ht="27.75" customHeight="1"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</row>
    <row r="27" ht="27.75" customHeight="1">
      <c r="B27" s="47" t="inlineStr">
        <is>
          <t>ANTRICOT</t>
        </is>
      </c>
      <c r="C27" s="49" t="n">
        <v>2.03</v>
      </c>
      <c r="D27" s="50" t="n">
        <v>3.03</v>
      </c>
      <c r="E27" s="50" t="n">
        <v>4.03</v>
      </c>
      <c r="F27" s="50" t="n">
        <v>5.03</v>
      </c>
      <c r="G27" s="50" t="n">
        <v>6.03</v>
      </c>
      <c r="H27" s="50" t="n">
        <v>7.03</v>
      </c>
      <c r="I27" s="51" t="n">
        <v>9.029999999999999</v>
      </c>
      <c r="J27" s="50" t="n">
        <v>10.03</v>
      </c>
      <c r="K27" s="50" t="n">
        <v>11.03</v>
      </c>
      <c r="L27" s="50" t="n">
        <v>12.03</v>
      </c>
      <c r="M27" s="50" t="n">
        <v>13.03</v>
      </c>
      <c r="N27" s="50" t="n">
        <v>14.03</v>
      </c>
      <c r="O27" s="51" t="n">
        <v>16.03</v>
      </c>
      <c r="P27" s="51" t="n">
        <v>17.03</v>
      </c>
      <c r="Q27" s="50" t="n">
        <v>18.03</v>
      </c>
      <c r="R27" s="50" t="n">
        <v>19.03</v>
      </c>
      <c r="S27" s="50" t="n">
        <v>20.03</v>
      </c>
      <c r="T27" s="50" t="n">
        <v>21.02</v>
      </c>
      <c r="U27" s="50" t="n">
        <v>23.03</v>
      </c>
      <c r="V27" s="50" t="n">
        <v>24.03</v>
      </c>
      <c r="W27" s="50" t="n">
        <v>25.03</v>
      </c>
      <c r="X27" s="52" t="n">
        <v>26.03</v>
      </c>
      <c r="Y27" s="54" t="n">
        <v>27.03</v>
      </c>
      <c r="Z27" s="54" t="n">
        <v>28.02</v>
      </c>
      <c r="AA27" s="54" t="n">
        <v>30.03</v>
      </c>
      <c r="AB27" s="54" t="n">
        <v>31.03</v>
      </c>
      <c r="AC27" s="55" t="inlineStr">
        <is>
          <t xml:space="preserve">VACI TRAN </t>
        </is>
      </c>
      <c r="AD27" s="56" t="inlineStr">
        <is>
          <t>ZILE</t>
        </is>
      </c>
      <c r="AE27" s="57" t="inlineStr">
        <is>
          <t>VACA ZI*160</t>
        </is>
      </c>
      <c r="AF27" s="58" t="inlineStr">
        <is>
          <t xml:space="preserve">DE PLATIT </t>
        </is>
      </c>
      <c r="AG27" s="58" t="inlineStr">
        <is>
          <t>ZILE LUCRATOARE</t>
        </is>
      </c>
      <c r="AH27" s="56" t="inlineStr">
        <is>
          <t>ZILE IN PLUS</t>
        </is>
      </c>
      <c r="AI27" s="56" t="inlineStr">
        <is>
          <t xml:space="preserve">SALAR PE ZI </t>
        </is>
      </c>
      <c r="AJ27" s="59" t="inlineStr">
        <is>
          <t xml:space="preserve">BANI IN PLUS </t>
        </is>
      </c>
      <c r="AK27" s="56" t="inlineStr">
        <is>
          <t xml:space="preserve">SALAR BAZA </t>
        </is>
      </c>
      <c r="AL27" s="56" t="inlineStr">
        <is>
          <t xml:space="preserve">TOTAL </t>
        </is>
      </c>
      <c r="AM27" s="60" t="inlineStr">
        <is>
          <t>Nume și prenume</t>
        </is>
      </c>
      <c r="AN27" s="56" t="inlineStr">
        <is>
          <t xml:space="preserve">PREMIUM SUPLIMENTAR </t>
        </is>
      </c>
    </row>
    <row r="28" ht="44.25" customHeight="1">
      <c r="A28" s="61" t="n">
        <v>4</v>
      </c>
      <c r="B28" s="62" t="inlineStr">
        <is>
          <t>CONSTANTINESCU SEBASTIAN</t>
        </is>
      </c>
      <c r="C28" s="63" t="n">
        <v>193</v>
      </c>
      <c r="D28" s="63">
        <f>131.5+23/6</f>
        <v/>
      </c>
      <c r="E28" s="64" t="n">
        <v>191</v>
      </c>
      <c r="F28" s="63" t="n">
        <v>191.75</v>
      </c>
      <c r="G28" s="63" t="n">
        <v>183.5</v>
      </c>
      <c r="H28" s="63" t="n">
        <v>173</v>
      </c>
      <c r="I28" s="65" t="n">
        <v>0</v>
      </c>
      <c r="J28" s="63" t="n">
        <v>47.5</v>
      </c>
      <c r="K28" s="63" t="n">
        <v>97.5</v>
      </c>
      <c r="L28" s="63" t="n">
        <v>146.5</v>
      </c>
      <c r="M28" s="63" t="n">
        <v>194.5</v>
      </c>
      <c r="N28" s="63" t="n">
        <v>188.5</v>
      </c>
      <c r="O28" s="65" t="n">
        <v>0</v>
      </c>
      <c r="P28" s="65" t="n">
        <v>0</v>
      </c>
      <c r="Q28" s="63">
        <f>84+6/6</f>
        <v/>
      </c>
      <c r="R28" s="63" t="n">
        <v>144</v>
      </c>
      <c r="S28" s="63">
        <f>141.5+8/6</f>
        <v/>
      </c>
      <c r="T28" s="63" t="n">
        <v>201</v>
      </c>
      <c r="U28" s="63" t="n">
        <v>191.75</v>
      </c>
      <c r="V28" s="63">
        <f>156.25+7/6</f>
        <v/>
      </c>
      <c r="W28" s="63" t="n">
        <v>166</v>
      </c>
      <c r="X28" s="63" t="n">
        <v>144.5</v>
      </c>
      <c r="Y28" s="63">
        <f>104.5+30/6</f>
        <v/>
      </c>
      <c r="Z28" s="63" t="n">
        <v>200.5</v>
      </c>
      <c r="AA28" s="63" t="n">
        <v>147</v>
      </c>
      <c r="AB28" s="63" t="n">
        <v>141</v>
      </c>
      <c r="AC28" s="66">
        <f>SUM(C28:AB28)</f>
        <v/>
      </c>
      <c r="AD28" s="67" t="n">
        <v>23</v>
      </c>
      <c r="AE28" s="67">
        <f>AD28*166</f>
        <v/>
      </c>
      <c r="AF28" s="67">
        <f>AC28-AE28</f>
        <v/>
      </c>
      <c r="AG28" s="67" t="n">
        <v>26</v>
      </c>
      <c r="AH28" s="67">
        <f>AF28/175</f>
        <v/>
      </c>
      <c r="AI28" s="67">
        <f>AK28/AG28</f>
        <v/>
      </c>
      <c r="AJ28" s="68">
        <f>AI28*AH28</f>
        <v/>
      </c>
      <c r="AK28" s="67" t="n">
        <v>7500</v>
      </c>
      <c r="AL28" s="69">
        <f>AK28+AJ28</f>
        <v/>
      </c>
      <c r="AM28" s="62" t="inlineStr">
        <is>
          <t>CONSTANTINESCU SEBASTIAN</t>
        </is>
      </c>
      <c r="AN28" s="70" t="n"/>
    </row>
    <row r="29" ht="27.75" customHeight="1">
      <c r="A29" s="71" t="n"/>
      <c r="B29" s="47" t="inlineStr">
        <is>
          <t>transatori</t>
        </is>
      </c>
      <c r="C29" s="72" t="n">
        <v>15</v>
      </c>
      <c r="D29" s="72" t="n">
        <v>14</v>
      </c>
      <c r="E29" s="72" t="n">
        <v>15</v>
      </c>
      <c r="F29" s="72" t="n">
        <v>16</v>
      </c>
      <c r="G29" s="72" t="n">
        <v>15</v>
      </c>
      <c r="H29" s="72" t="n">
        <v>14</v>
      </c>
      <c r="I29" s="73" t="n">
        <v>0</v>
      </c>
      <c r="J29" s="72" t="n">
        <v>9</v>
      </c>
      <c r="K29" s="72" t="n">
        <v>14</v>
      </c>
      <c r="L29" s="72" t="n">
        <v>14</v>
      </c>
      <c r="M29" s="72" t="n">
        <v>15</v>
      </c>
      <c r="N29" s="72" t="n">
        <v>16</v>
      </c>
      <c r="O29" s="73" t="n">
        <v>0</v>
      </c>
      <c r="P29" s="73" t="n">
        <v>0</v>
      </c>
      <c r="Q29" s="72" t="n">
        <v>10</v>
      </c>
      <c r="R29" s="72" t="n">
        <v>13</v>
      </c>
      <c r="S29" s="72" t="n">
        <v>15</v>
      </c>
      <c r="T29" s="72" t="n">
        <v>14</v>
      </c>
      <c r="U29" s="72" t="n">
        <v>15</v>
      </c>
      <c r="V29" s="72" t="n">
        <v>14</v>
      </c>
      <c r="W29" s="72" t="n">
        <v>13</v>
      </c>
      <c r="X29" s="72" t="n">
        <v>14</v>
      </c>
      <c r="Y29" s="72" t="n">
        <v>14</v>
      </c>
      <c r="Z29" s="72" t="n">
        <v>15</v>
      </c>
      <c r="AA29" s="72" t="n">
        <v>14</v>
      </c>
      <c r="AB29" s="72" t="n">
        <v>14</v>
      </c>
    </row>
    <row r="30" ht="27.75" customHeight="1">
      <c r="A30" s="71" t="n"/>
      <c r="B30" s="47" t="inlineStr">
        <is>
          <t>vaci pe om</t>
        </is>
      </c>
      <c r="C30" s="72">
        <f>C28/C29</f>
        <v/>
      </c>
      <c r="D30" s="72">
        <f>D28/D29</f>
        <v/>
      </c>
      <c r="E30" s="72">
        <f>E28/E29</f>
        <v/>
      </c>
      <c r="F30" s="72">
        <f>F28/F29</f>
        <v/>
      </c>
      <c r="G30" s="72">
        <f>G28/G29</f>
        <v/>
      </c>
      <c r="H30" s="72">
        <f>H28/H29</f>
        <v/>
      </c>
      <c r="I30" s="73" t="n">
        <v>0</v>
      </c>
      <c r="J30" s="72">
        <f>J28/J29</f>
        <v/>
      </c>
      <c r="K30" s="72">
        <f>K28/K29</f>
        <v/>
      </c>
      <c r="L30" s="72">
        <f>L28/L29</f>
        <v/>
      </c>
      <c r="M30" s="72">
        <f>M28/M29</f>
        <v/>
      </c>
      <c r="N30" s="72">
        <f>N28/N29</f>
        <v/>
      </c>
      <c r="O30" s="73" t="n">
        <v>0</v>
      </c>
      <c r="P30" s="73" t="n">
        <v>0</v>
      </c>
      <c r="Q30" s="72">
        <f>Q28/Q29</f>
        <v/>
      </c>
      <c r="R30" s="72">
        <f>R28/R29</f>
        <v/>
      </c>
      <c r="S30" s="72">
        <f>S28/S29</f>
        <v/>
      </c>
      <c r="T30" s="72">
        <f>T28/T29</f>
        <v/>
      </c>
      <c r="U30" s="72">
        <f>U28/U29</f>
        <v/>
      </c>
      <c r="V30" s="72">
        <f>V28/V29</f>
        <v/>
      </c>
      <c r="W30" s="72">
        <f>W28/W29</f>
        <v/>
      </c>
      <c r="X30" s="72">
        <f>X28/X29</f>
        <v/>
      </c>
      <c r="Y30" s="72">
        <f>Y28/Y29</f>
        <v/>
      </c>
      <c r="Z30" s="72">
        <f>Z28/Z29</f>
        <v/>
      </c>
      <c r="AA30" s="72">
        <f>AA28/AA29</f>
        <v/>
      </c>
      <c r="AB30" s="72">
        <f>AB28/AB29</f>
        <v/>
      </c>
      <c r="AC30" s="48">
        <f>SUM(C30:AB30)</f>
        <v/>
      </c>
      <c r="AE30" s="47" t="inlineStr">
        <is>
          <t>cost /vaca</t>
        </is>
      </c>
      <c r="AG30" s="47">
        <f>AI28/11.5</f>
        <v/>
      </c>
    </row>
    <row r="31" ht="27.75" customHeight="1">
      <c r="A31" s="71" t="n"/>
      <c r="B31" s="47" t="inlineStr">
        <is>
          <t>vaci 160 in 14</t>
        </is>
      </c>
      <c r="C31" s="72" t="n">
        <v>11.5</v>
      </c>
      <c r="D31" s="72" t="n">
        <v>11.5</v>
      </c>
      <c r="E31" s="72" t="n">
        <v>11.5</v>
      </c>
      <c r="F31" s="72" t="n">
        <v>11.5</v>
      </c>
      <c r="G31" s="72" t="n">
        <v>11.5</v>
      </c>
      <c r="H31" s="72" t="n">
        <v>11.5</v>
      </c>
      <c r="I31" s="73" t="n">
        <v>0</v>
      </c>
      <c r="J31" s="72" t="n">
        <v>11.5</v>
      </c>
      <c r="K31" s="72" t="n">
        <v>11.5</v>
      </c>
      <c r="L31" s="72" t="n">
        <v>11.5</v>
      </c>
      <c r="M31" s="72" t="n">
        <v>11.5</v>
      </c>
      <c r="N31" s="72" t="n">
        <v>11.5</v>
      </c>
      <c r="O31" s="73" t="n">
        <v>0</v>
      </c>
      <c r="P31" s="73" t="n">
        <v>0</v>
      </c>
      <c r="Q31" s="72" t="n">
        <v>11.5</v>
      </c>
      <c r="R31" s="72" t="n">
        <v>11.5</v>
      </c>
      <c r="S31" s="72" t="n">
        <v>11.5</v>
      </c>
      <c r="T31" s="72" t="n">
        <v>11.5</v>
      </c>
      <c r="U31" s="72" t="n">
        <v>11.5</v>
      </c>
      <c r="V31" s="72" t="n">
        <v>11.5</v>
      </c>
      <c r="W31" s="72" t="n">
        <v>11.5</v>
      </c>
      <c r="X31" s="72" t="n">
        <v>11.5</v>
      </c>
      <c r="Y31" s="72" t="n">
        <v>11.5</v>
      </c>
      <c r="Z31" s="72" t="n">
        <v>11.5</v>
      </c>
      <c r="AA31" s="72" t="n">
        <v>11.5</v>
      </c>
      <c r="AB31" s="72" t="n">
        <v>11.5</v>
      </c>
      <c r="AC31" s="48">
        <f>SUM(C31:AB31)</f>
        <v/>
      </c>
      <c r="AE31" s="47" t="inlineStr">
        <is>
          <t>bani  in plus</t>
        </is>
      </c>
      <c r="AG31" s="47">
        <f>AC32*AG30</f>
        <v/>
      </c>
    </row>
    <row r="32" ht="27.75" customHeight="1">
      <c r="A32" s="74" t="n"/>
      <c r="B32" s="75" t="inlineStr">
        <is>
          <t xml:space="preserve">difernta </t>
        </is>
      </c>
      <c r="C32" s="76">
        <f>C30-C31</f>
        <v/>
      </c>
      <c r="D32" s="76">
        <f>D30-D31</f>
        <v/>
      </c>
      <c r="E32" s="76">
        <f>E30-E31</f>
        <v/>
      </c>
      <c r="F32" s="76">
        <f>F30-F31</f>
        <v/>
      </c>
      <c r="G32" s="76">
        <f>G30-G31</f>
        <v/>
      </c>
      <c r="H32" s="76">
        <f>H30-H31</f>
        <v/>
      </c>
      <c r="I32" s="77">
        <f>I30-I31</f>
        <v/>
      </c>
      <c r="J32" s="76">
        <f>J30-J31</f>
        <v/>
      </c>
      <c r="K32" s="76">
        <f>K30-K31</f>
        <v/>
      </c>
      <c r="L32" s="76">
        <f>L30-L31</f>
        <v/>
      </c>
      <c r="M32" s="76">
        <f>M30-M31</f>
        <v/>
      </c>
      <c r="N32" s="76">
        <f>N30-N31</f>
        <v/>
      </c>
      <c r="O32" s="77">
        <f>O30-O31</f>
        <v/>
      </c>
      <c r="P32" s="77">
        <f>P30-P31</f>
        <v/>
      </c>
      <c r="Q32" s="76">
        <f>Q30-Q31</f>
        <v/>
      </c>
      <c r="R32" s="76">
        <f>R30-R31</f>
        <v/>
      </c>
      <c r="S32" s="76">
        <f>S30-S31</f>
        <v/>
      </c>
      <c r="T32" s="76">
        <f>T30-T31</f>
        <v/>
      </c>
      <c r="U32" s="76">
        <f>U30-U31</f>
        <v/>
      </c>
      <c r="V32" s="76">
        <f>V30-V31</f>
        <v/>
      </c>
      <c r="W32" s="76">
        <f>W30-W31</f>
        <v/>
      </c>
      <c r="X32" s="76">
        <f>X30-X31</f>
        <v/>
      </c>
      <c r="Y32" s="76">
        <f>Y30-Y31</f>
        <v/>
      </c>
      <c r="Z32" s="76">
        <f>Z30-Z31</f>
        <v/>
      </c>
      <c r="AA32" s="76">
        <f>AA30-AA31</f>
        <v/>
      </c>
      <c r="AB32" s="76">
        <f>AB30-AB31</f>
        <v/>
      </c>
      <c r="AC32" s="48">
        <f>SUM(C32:AB32)</f>
        <v/>
      </c>
    </row>
    <row r="33" ht="27.75" customHeight="1"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</row>
    <row r="34" hidden="1" ht="27.75" customHeight="1">
      <c r="B34" s="47" t="inlineStr">
        <is>
          <t xml:space="preserve">DESFACUT </t>
        </is>
      </c>
      <c r="C34" s="49" t="n">
        <v>1.11</v>
      </c>
      <c r="D34" s="50" t="n">
        <v>3.11</v>
      </c>
      <c r="E34" s="50" t="n">
        <v>4.11</v>
      </c>
      <c r="F34" s="50" t="n">
        <v>5.11</v>
      </c>
      <c r="G34" s="50" t="n">
        <v>6.11</v>
      </c>
      <c r="H34" s="50" t="n">
        <v>7.11</v>
      </c>
      <c r="I34" s="50" t="n">
        <v>8.109999999999999</v>
      </c>
      <c r="J34" s="50" t="n">
        <v>10.11</v>
      </c>
      <c r="K34" s="50" t="n">
        <v>11.11</v>
      </c>
      <c r="L34" s="50" t="n">
        <v>12.11</v>
      </c>
      <c r="M34" s="50" t="n">
        <v>13.11</v>
      </c>
      <c r="N34" s="50" t="n">
        <v>14.11</v>
      </c>
      <c r="O34" s="50" t="n">
        <v>15.11</v>
      </c>
      <c r="P34" s="50" t="n">
        <v>17.11</v>
      </c>
      <c r="Q34" s="50" t="n">
        <v>18.11</v>
      </c>
      <c r="R34" s="50" t="n">
        <v>19.11</v>
      </c>
      <c r="S34" s="50" t="n">
        <v>20.11</v>
      </c>
      <c r="T34" s="50" t="n">
        <v>21.11</v>
      </c>
      <c r="U34" s="50" t="n">
        <v>22.11</v>
      </c>
      <c r="V34" s="50" t="n">
        <v>24.11</v>
      </c>
      <c r="W34" s="50" t="n">
        <v>25.11</v>
      </c>
      <c r="X34" s="52" t="n">
        <v>26.11</v>
      </c>
      <c r="Y34" s="54" t="n">
        <v>27.11</v>
      </c>
      <c r="Z34" s="54" t="n">
        <v>27.11</v>
      </c>
      <c r="AA34" s="54" t="n">
        <v>27.11</v>
      </c>
      <c r="AB34" s="54" t="n">
        <v>27.11</v>
      </c>
      <c r="AC34" s="55" t="inlineStr">
        <is>
          <t xml:space="preserve">VACI TRAN </t>
        </is>
      </c>
      <c r="AD34" s="56" t="inlineStr">
        <is>
          <t>ZILE</t>
        </is>
      </c>
      <c r="AE34" s="57" t="inlineStr">
        <is>
          <t>VACA ZI*160</t>
        </is>
      </c>
      <c r="AF34" s="58" t="inlineStr">
        <is>
          <t xml:space="preserve">DE PLATIT </t>
        </is>
      </c>
      <c r="AG34" s="58" t="inlineStr">
        <is>
          <t>ZILE LUCRATOARE</t>
        </is>
      </c>
      <c r="AH34" s="56" t="inlineStr">
        <is>
          <t>ZILE IN PLUS</t>
        </is>
      </c>
      <c r="AI34" s="56" t="inlineStr">
        <is>
          <t xml:space="preserve">SALAR PE ZI </t>
        </is>
      </c>
      <c r="AJ34" s="59" t="inlineStr">
        <is>
          <t xml:space="preserve">BANI IN PLUS </t>
        </is>
      </c>
      <c r="AK34" s="56" t="inlineStr">
        <is>
          <t xml:space="preserve">SALAR BAZA </t>
        </is>
      </c>
      <c r="AL34" s="56" t="inlineStr">
        <is>
          <t xml:space="preserve">TOTAL </t>
        </is>
      </c>
      <c r="AM34" s="60" t="inlineStr">
        <is>
          <t>Nume și prenume</t>
        </is>
      </c>
      <c r="AN34" s="56" t="inlineStr">
        <is>
          <t xml:space="preserve">PREMIUM SUPLIMENTAR </t>
        </is>
      </c>
    </row>
    <row r="35" hidden="1" ht="41.25" customHeight="1">
      <c r="A35" s="61" t="n">
        <v>0</v>
      </c>
      <c r="B35" s="62" t="n"/>
      <c r="C35" s="84" t="n">
        <v>233</v>
      </c>
      <c r="D35" s="85" t="n">
        <v>191</v>
      </c>
      <c r="E35" s="86">
        <f>194.75+112/6</f>
        <v/>
      </c>
      <c r="F35" s="86" t="n">
        <v>195.75</v>
      </c>
      <c r="G35" s="86">
        <f>197.5+70/6</f>
        <v/>
      </c>
      <c r="H35" s="86" t="n">
        <v>196.25</v>
      </c>
      <c r="I35" s="86" t="n">
        <v>204.5</v>
      </c>
      <c r="J35" s="86">
        <f>190.25+232/6</f>
        <v/>
      </c>
      <c r="K35" s="86" t="n">
        <v>241</v>
      </c>
      <c r="L35" s="86">
        <f>207.45+116/6</f>
        <v/>
      </c>
      <c r="M35" s="86" t="n">
        <v>207.5</v>
      </c>
      <c r="N35" s="86" t="n">
        <v>219.5</v>
      </c>
      <c r="O35" s="86" t="n">
        <v>203.5</v>
      </c>
      <c r="P35" s="86" t="n">
        <v>197</v>
      </c>
      <c r="Q35" s="86">
        <f>193+44/6</f>
        <v/>
      </c>
      <c r="R35" s="86" t="n">
        <v>192.25</v>
      </c>
      <c r="S35" s="86">
        <f>209.25+85/6</f>
        <v/>
      </c>
      <c r="T35" s="86" t="n">
        <v>211.25</v>
      </c>
      <c r="U35" s="86" t="n">
        <v>216.25</v>
      </c>
      <c r="V35" s="86">
        <f>187.5+45/6</f>
        <v/>
      </c>
      <c r="W35" s="86" t="n">
        <v>220.75</v>
      </c>
      <c r="X35" s="86" t="n">
        <v>229</v>
      </c>
      <c r="Y35" s="86">
        <f>197.5+95/6</f>
        <v/>
      </c>
      <c r="Z35" s="86">
        <f>197.5+95/6</f>
        <v/>
      </c>
      <c r="AA35" s="86">
        <f>197.5+95/6</f>
        <v/>
      </c>
      <c r="AB35" s="86">
        <f>197.5+95/6</f>
        <v/>
      </c>
      <c r="AC35" s="66">
        <f>SUM(C35:AB35)</f>
        <v/>
      </c>
      <c r="AD35" s="67" t="n">
        <v>27</v>
      </c>
      <c r="AE35" s="67">
        <f>AD35*175</f>
        <v/>
      </c>
      <c r="AF35" s="67">
        <f>AC35-AE35</f>
        <v/>
      </c>
      <c r="AG35" s="67" t="n">
        <v>27</v>
      </c>
      <c r="AH35" s="67">
        <f>AF35/175</f>
        <v/>
      </c>
      <c r="AI35" s="67">
        <f>AK35/AG35</f>
        <v/>
      </c>
      <c r="AJ35" s="68">
        <f>AI35*AH35</f>
        <v/>
      </c>
      <c r="AK35" s="67" t="n">
        <v>6500</v>
      </c>
      <c r="AL35" s="69">
        <f>AK35+AJ35</f>
        <v/>
      </c>
      <c r="AM35" s="87" t="n"/>
      <c r="AN35" s="70" t="n"/>
    </row>
    <row r="36" hidden="1" ht="27.75" customHeight="1">
      <c r="A36" s="71" t="n"/>
      <c r="B36" s="47" t="inlineStr">
        <is>
          <t>transatori</t>
        </is>
      </c>
      <c r="C36" s="88" t="n">
        <v>16.5</v>
      </c>
      <c r="D36" s="88" t="n">
        <v>15</v>
      </c>
      <c r="E36" s="88" t="n">
        <v>16</v>
      </c>
      <c r="F36" s="88" t="n">
        <v>16</v>
      </c>
      <c r="G36" s="88" t="n">
        <v>16</v>
      </c>
      <c r="H36" s="88" t="n">
        <v>16</v>
      </c>
      <c r="I36" s="88" t="n">
        <v>14.5</v>
      </c>
      <c r="J36" s="88" t="n">
        <v>15.66</v>
      </c>
      <c r="K36" s="88" t="n">
        <v>16</v>
      </c>
      <c r="L36" s="88" t="n">
        <v>17</v>
      </c>
      <c r="M36" s="88" t="n">
        <v>16</v>
      </c>
      <c r="N36" s="88" t="n">
        <v>16.5</v>
      </c>
      <c r="O36" s="88" t="n">
        <v>14.5</v>
      </c>
      <c r="P36" s="88" t="n">
        <v>14</v>
      </c>
      <c r="Q36" s="88" t="n">
        <v>15</v>
      </c>
      <c r="R36" s="88" t="n">
        <v>15</v>
      </c>
      <c r="S36" s="89" t="n">
        <v>17</v>
      </c>
      <c r="T36" s="89" t="n">
        <v>16</v>
      </c>
      <c r="U36" s="88" t="n">
        <v>16</v>
      </c>
      <c r="V36" s="89" t="n">
        <v>14</v>
      </c>
      <c r="W36" s="89" t="n">
        <v>15</v>
      </c>
      <c r="X36" s="88" t="n">
        <v>17</v>
      </c>
      <c r="Y36" s="89" t="n">
        <v>15.5</v>
      </c>
      <c r="Z36" s="89" t="n">
        <v>15.5</v>
      </c>
      <c r="AA36" s="89" t="n">
        <v>15.5</v>
      </c>
      <c r="AB36" s="89" t="n">
        <v>15.5</v>
      </c>
    </row>
    <row r="37" hidden="1" ht="27.75" customHeight="1">
      <c r="A37" s="71" t="n"/>
      <c r="B37" s="47" t="inlineStr">
        <is>
          <t>vaci pe om</t>
        </is>
      </c>
      <c r="C37" s="88">
        <f>C35/C36</f>
        <v/>
      </c>
      <c r="D37" s="88">
        <f>D35/D36</f>
        <v/>
      </c>
      <c r="E37" s="88">
        <f>E35/E36</f>
        <v/>
      </c>
      <c r="F37" s="88">
        <f>F35/F36</f>
        <v/>
      </c>
      <c r="G37" s="88">
        <f>G35/G36</f>
        <v/>
      </c>
      <c r="H37" s="88">
        <f>H35/H36</f>
        <v/>
      </c>
      <c r="I37" s="88">
        <f>I35/I36</f>
        <v/>
      </c>
      <c r="J37" s="88">
        <f>J35/J36</f>
        <v/>
      </c>
      <c r="K37" s="88">
        <f>K35/K36</f>
        <v/>
      </c>
      <c r="L37" s="88">
        <f>L35/L36</f>
        <v/>
      </c>
      <c r="M37" s="88">
        <f>M35/M36</f>
        <v/>
      </c>
      <c r="N37" s="88">
        <f>N35/N36</f>
        <v/>
      </c>
      <c r="O37" s="88">
        <f>O35/O36</f>
        <v/>
      </c>
      <c r="P37" s="88">
        <f>P35/P36</f>
        <v/>
      </c>
      <c r="Q37" s="88">
        <f>Q35/Q36</f>
        <v/>
      </c>
      <c r="R37" s="88">
        <f>R35/R36</f>
        <v/>
      </c>
      <c r="S37" s="88">
        <f>S35/S36</f>
        <v/>
      </c>
      <c r="T37" s="88">
        <f>T35/T36</f>
        <v/>
      </c>
      <c r="U37" s="88">
        <f>U35/U36</f>
        <v/>
      </c>
      <c r="V37" s="88">
        <f>V35/V36</f>
        <v/>
      </c>
      <c r="W37" s="88">
        <f>W35/W36</f>
        <v/>
      </c>
      <c r="X37" s="88">
        <f>X35/X36</f>
        <v/>
      </c>
      <c r="Y37" s="88">
        <f>Y35/Y36</f>
        <v/>
      </c>
      <c r="Z37" s="88">
        <f>Z35/Z36</f>
        <v/>
      </c>
      <c r="AA37" s="88">
        <f>AA35/AA36</f>
        <v/>
      </c>
      <c r="AB37" s="88">
        <f>AB35/AB36</f>
        <v/>
      </c>
      <c r="AC37" s="48">
        <f>SUM(C37:AB37)</f>
        <v/>
      </c>
      <c r="AE37" s="47" t="inlineStr">
        <is>
          <t>cost /vaca</t>
        </is>
      </c>
      <c r="AG37" s="47">
        <f>AI35/11.5</f>
        <v/>
      </c>
      <c r="AI37" s="47">
        <f>27*175</f>
        <v/>
      </c>
      <c r="AJ37" s="47">
        <f>5823-27*175</f>
        <v/>
      </c>
    </row>
    <row r="38" hidden="1" ht="27.75" customHeight="1">
      <c r="A38" s="71" t="n"/>
      <c r="B38" s="47" t="inlineStr">
        <is>
          <t>vaci 160 in 14</t>
        </is>
      </c>
      <c r="C38" s="88" t="n">
        <v>11.5</v>
      </c>
      <c r="D38" s="88" t="n">
        <v>0</v>
      </c>
      <c r="E38" s="88" t="n">
        <v>11.5</v>
      </c>
      <c r="F38" s="88" t="n">
        <v>11.5</v>
      </c>
      <c r="G38" s="88" t="n">
        <v>11.5</v>
      </c>
      <c r="H38" s="88" t="n">
        <v>11.5</v>
      </c>
      <c r="I38" s="88" t="n">
        <v>11.5</v>
      </c>
      <c r="J38" s="88" t="n">
        <v>11.5</v>
      </c>
      <c r="K38" s="88" t="n">
        <v>11.5</v>
      </c>
      <c r="L38" s="88" t="n">
        <v>11.5</v>
      </c>
      <c r="M38" s="88" t="n">
        <v>11.5</v>
      </c>
      <c r="N38" s="88" t="n">
        <v>11.5</v>
      </c>
      <c r="O38" s="88" t="n">
        <v>11.5</v>
      </c>
      <c r="P38" s="88" t="n">
        <v>11.5</v>
      </c>
      <c r="Q38" s="88" t="n">
        <v>11.5</v>
      </c>
      <c r="R38" s="88" t="n">
        <v>11.5</v>
      </c>
      <c r="S38" s="88" t="n">
        <v>0</v>
      </c>
      <c r="T38" s="88" t="n">
        <v>11.5</v>
      </c>
      <c r="U38" s="88" t="n">
        <v>0</v>
      </c>
      <c r="V38" s="88" t="n">
        <v>11.5</v>
      </c>
      <c r="W38" s="88" t="n">
        <v>11.5</v>
      </c>
      <c r="X38" s="88" t="n">
        <v>11.5</v>
      </c>
      <c r="Y38" s="88" t="n">
        <v>11.5</v>
      </c>
      <c r="Z38" s="88" t="n">
        <v>11.5</v>
      </c>
      <c r="AA38" s="88" t="n">
        <v>11.5</v>
      </c>
      <c r="AB38" s="88" t="n">
        <v>11.5</v>
      </c>
      <c r="AC38" s="48">
        <f>SUM(C38:AB38)</f>
        <v/>
      </c>
      <c r="AE38" s="47" t="inlineStr">
        <is>
          <t>bani  in plus</t>
        </is>
      </c>
      <c r="AG38" s="47">
        <f>AC39*AG37</f>
        <v/>
      </c>
      <c r="AJ38" s="47">
        <f>AJ37*175</f>
        <v/>
      </c>
      <c r="AL38" s="47">
        <f>AJ37/AI37</f>
        <v/>
      </c>
    </row>
    <row r="39" hidden="1" ht="27.75" customHeight="1">
      <c r="A39" s="74" t="n"/>
      <c r="B39" s="75" t="inlineStr">
        <is>
          <t xml:space="preserve">difernta </t>
        </is>
      </c>
      <c r="C39" s="90">
        <f>C37-C38</f>
        <v/>
      </c>
      <c r="D39" s="90">
        <f>D37-D38</f>
        <v/>
      </c>
      <c r="E39" s="90">
        <f>E37-E38</f>
        <v/>
      </c>
      <c r="F39" s="90">
        <f>F37-F38</f>
        <v/>
      </c>
      <c r="G39" s="90">
        <f>G37-G38</f>
        <v/>
      </c>
      <c r="H39" s="90">
        <f>H37-H38</f>
        <v/>
      </c>
      <c r="I39" s="90">
        <f>I37-I38</f>
        <v/>
      </c>
      <c r="J39" s="90">
        <f>J37-J38</f>
        <v/>
      </c>
      <c r="K39" s="90">
        <f>K37-K38</f>
        <v/>
      </c>
      <c r="L39" s="90">
        <f>L37-L38</f>
        <v/>
      </c>
      <c r="M39" s="90">
        <f>M37-M38</f>
        <v/>
      </c>
      <c r="N39" s="90">
        <f>N37-N38</f>
        <v/>
      </c>
      <c r="O39" s="90">
        <f>O37-O38</f>
        <v/>
      </c>
      <c r="P39" s="90">
        <f>P37-P38</f>
        <v/>
      </c>
      <c r="Q39" s="90">
        <f>Q37-Q38</f>
        <v/>
      </c>
      <c r="R39" s="90">
        <f>R37-R38</f>
        <v/>
      </c>
      <c r="S39" s="90">
        <f>S37-S38</f>
        <v/>
      </c>
      <c r="T39" s="90">
        <f>T37-T38</f>
        <v/>
      </c>
      <c r="U39" s="90">
        <f>U37-U38</f>
        <v/>
      </c>
      <c r="V39" s="90">
        <f>V37-V38</f>
        <v/>
      </c>
      <c r="W39" s="90">
        <f>W37-W38</f>
        <v/>
      </c>
      <c r="X39" s="90">
        <f>X37-X38</f>
        <v/>
      </c>
      <c r="Y39" s="90">
        <f>Y37-Y38</f>
        <v/>
      </c>
      <c r="Z39" s="90">
        <f>Z37-Z38</f>
        <v/>
      </c>
      <c r="AA39" s="90">
        <f>AA37-AA38</f>
        <v/>
      </c>
      <c r="AB39" s="90">
        <f>AB37-AB38</f>
        <v/>
      </c>
      <c r="AC39" s="48">
        <f>SUM(C39:AB39)</f>
        <v/>
      </c>
    </row>
    <row r="40" hidden="1" ht="27.75" customHeight="1"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</row>
    <row r="41" hidden="1" ht="27.75" customHeight="1">
      <c r="C41" s="49" t="n">
        <v>1.11</v>
      </c>
      <c r="D41" s="50" t="n">
        <v>3.11</v>
      </c>
      <c r="E41" s="50" t="n">
        <v>4.11</v>
      </c>
      <c r="F41" s="50" t="n">
        <v>5.11</v>
      </c>
      <c r="G41" s="50" t="n">
        <v>6.11</v>
      </c>
      <c r="H41" s="50" t="n">
        <v>7.11</v>
      </c>
      <c r="I41" s="50" t="n">
        <v>8.109999999999999</v>
      </c>
      <c r="J41" s="50" t="n">
        <v>10.11</v>
      </c>
      <c r="K41" s="50" t="n">
        <v>11.11</v>
      </c>
      <c r="L41" s="50" t="n">
        <v>12.11</v>
      </c>
      <c r="M41" s="50" t="n">
        <v>13.11</v>
      </c>
      <c r="N41" s="50" t="n">
        <v>14.11</v>
      </c>
      <c r="O41" s="50" t="n">
        <v>15.11</v>
      </c>
      <c r="P41" s="50" t="n">
        <v>17.11</v>
      </c>
      <c r="Q41" s="50" t="n">
        <v>18.11</v>
      </c>
      <c r="R41" s="50" t="n">
        <v>19.11</v>
      </c>
      <c r="S41" s="50" t="n">
        <v>20.11</v>
      </c>
      <c r="T41" s="50" t="n">
        <v>21.11</v>
      </c>
      <c r="U41" s="50" t="n">
        <v>22.11</v>
      </c>
      <c r="V41" s="50" t="n">
        <v>24.11</v>
      </c>
      <c r="W41" s="50" t="n">
        <v>25.11</v>
      </c>
      <c r="X41" s="52" t="n">
        <v>26.11</v>
      </c>
      <c r="Y41" s="54" t="n">
        <v>27.11</v>
      </c>
      <c r="Z41" s="54" t="n">
        <v>27.11</v>
      </c>
      <c r="AA41" s="54" t="n">
        <v>27.11</v>
      </c>
      <c r="AB41" s="54" t="n">
        <v>27.11</v>
      </c>
      <c r="AC41" s="55" t="inlineStr">
        <is>
          <t xml:space="preserve">VACI TRAN </t>
        </is>
      </c>
      <c r="AD41" s="56" t="inlineStr">
        <is>
          <t>ZILE</t>
        </is>
      </c>
      <c r="AE41" s="57" t="inlineStr">
        <is>
          <t>VACA ZI*160</t>
        </is>
      </c>
      <c r="AF41" s="58" t="inlineStr">
        <is>
          <t xml:space="preserve">DE PLATIT </t>
        </is>
      </c>
      <c r="AG41" s="58" t="inlineStr">
        <is>
          <t>ZILE LUCRATOARE</t>
        </is>
      </c>
      <c r="AH41" s="56" t="inlineStr">
        <is>
          <t>ZILE IN PLUS</t>
        </is>
      </c>
      <c r="AI41" s="56" t="inlineStr">
        <is>
          <t xml:space="preserve">SALAR PE ZI </t>
        </is>
      </c>
      <c r="AJ41" s="59" t="inlineStr">
        <is>
          <t xml:space="preserve">BANI IN PLUS </t>
        </is>
      </c>
      <c r="AK41" s="56" t="inlineStr">
        <is>
          <t xml:space="preserve">SALAR BAZA </t>
        </is>
      </c>
      <c r="AL41" s="56" t="inlineStr">
        <is>
          <t xml:space="preserve">TOTAL </t>
        </is>
      </c>
      <c r="AM41" s="60" t="inlineStr">
        <is>
          <t>Nume și prenume</t>
        </is>
      </c>
      <c r="AN41" s="56" t="inlineStr">
        <is>
          <t xml:space="preserve">PREMIUM SUPLIMENTAR </t>
        </is>
      </c>
    </row>
    <row r="42" hidden="1" ht="49.5" customHeight="1">
      <c r="A42" s="61" t="n">
        <v>0</v>
      </c>
      <c r="B42" s="62" t="n"/>
      <c r="C42" s="84" t="n">
        <v>233</v>
      </c>
      <c r="D42" s="85" t="n">
        <v>191</v>
      </c>
      <c r="E42" s="86">
        <f>194.75+112/6</f>
        <v/>
      </c>
      <c r="F42" s="86" t="n">
        <v>195.75</v>
      </c>
      <c r="G42" s="86">
        <f>197.5+70/6</f>
        <v/>
      </c>
      <c r="H42" s="86" t="n">
        <v>196.25</v>
      </c>
      <c r="I42" s="86" t="n">
        <v>204.5</v>
      </c>
      <c r="J42" s="86">
        <f>190.25+232/6</f>
        <v/>
      </c>
      <c r="K42" s="86" t="n">
        <v>241</v>
      </c>
      <c r="L42" s="86">
        <f>207.45+116/6</f>
        <v/>
      </c>
      <c r="M42" s="86" t="n">
        <v>207.5</v>
      </c>
      <c r="N42" s="86" t="n">
        <v>219.5</v>
      </c>
      <c r="O42" s="86" t="n">
        <v>203.5</v>
      </c>
      <c r="P42" s="86" t="n">
        <v>197</v>
      </c>
      <c r="Q42" s="86">
        <f>193+44/6</f>
        <v/>
      </c>
      <c r="R42" s="86" t="n">
        <v>192.25</v>
      </c>
      <c r="S42" s="86">
        <f>209.25+85/6</f>
        <v/>
      </c>
      <c r="T42" s="86" t="n">
        <v>211.25</v>
      </c>
      <c r="U42" s="86" t="n">
        <v>216.25</v>
      </c>
      <c r="V42" s="86">
        <f>187.5+45/6</f>
        <v/>
      </c>
      <c r="W42" s="86" t="n">
        <v>220.75</v>
      </c>
      <c r="X42" s="86" t="n">
        <v>229</v>
      </c>
      <c r="Y42" s="86">
        <f>197.5+95/6</f>
        <v/>
      </c>
      <c r="Z42" s="86">
        <f>197.5+95/6</f>
        <v/>
      </c>
      <c r="AA42" s="86">
        <f>197.5+95/6</f>
        <v/>
      </c>
      <c r="AB42" s="86">
        <f>197.5+95/6</f>
        <v/>
      </c>
      <c r="AC42" s="66">
        <f>SUM(C42:AB42)</f>
        <v/>
      </c>
      <c r="AD42" s="67" t="n">
        <v>6</v>
      </c>
      <c r="AE42" s="67">
        <f>AD42*175</f>
        <v/>
      </c>
      <c r="AF42" s="67">
        <f>AC42-AE42</f>
        <v/>
      </c>
      <c r="AG42" s="67" t="n">
        <v>27</v>
      </c>
      <c r="AH42" s="67">
        <f>AF42/175</f>
        <v/>
      </c>
      <c r="AI42" s="67">
        <f>AK42/AG42</f>
        <v/>
      </c>
      <c r="AJ42" s="68">
        <f>AI42*AH42</f>
        <v/>
      </c>
      <c r="AK42" s="67" t="n">
        <v>8000</v>
      </c>
      <c r="AL42" s="69">
        <f>AK42+AJ42</f>
        <v/>
      </c>
      <c r="AM42" s="62" t="n"/>
      <c r="AN42" s="70" t="n"/>
    </row>
    <row r="43" hidden="1" ht="27.75" customHeight="1">
      <c r="A43" s="71" t="n"/>
      <c r="B43" s="47" t="inlineStr">
        <is>
          <t>transatori</t>
        </is>
      </c>
      <c r="C43" s="88" t="n">
        <v>16.5</v>
      </c>
      <c r="D43" s="88" t="n">
        <v>15</v>
      </c>
      <c r="E43" s="88" t="n">
        <v>16</v>
      </c>
      <c r="F43" s="88" t="n">
        <v>16</v>
      </c>
      <c r="G43" s="88" t="n">
        <v>16</v>
      </c>
      <c r="H43" s="88" t="n">
        <v>16</v>
      </c>
      <c r="I43" s="88" t="n">
        <v>14.5</v>
      </c>
      <c r="J43" s="88" t="n">
        <v>15.66</v>
      </c>
      <c r="K43" s="88" t="n">
        <v>16</v>
      </c>
      <c r="L43" s="88" t="n">
        <v>17</v>
      </c>
      <c r="M43" s="88" t="n">
        <v>16</v>
      </c>
      <c r="N43" s="88" t="n">
        <v>16.5</v>
      </c>
      <c r="O43" s="88" t="n">
        <v>14.5</v>
      </c>
      <c r="P43" s="88" t="n">
        <v>14</v>
      </c>
      <c r="Q43" s="88" t="n">
        <v>15</v>
      </c>
      <c r="R43" s="88" t="n">
        <v>15</v>
      </c>
      <c r="S43" s="89" t="n">
        <v>17</v>
      </c>
      <c r="T43" s="89" t="n">
        <v>16</v>
      </c>
      <c r="U43" s="88" t="n">
        <v>16</v>
      </c>
      <c r="V43" s="89" t="n">
        <v>14</v>
      </c>
      <c r="W43" s="89" t="n">
        <v>15</v>
      </c>
      <c r="X43" s="88" t="n">
        <v>17</v>
      </c>
      <c r="Y43" s="89" t="n">
        <v>15.5</v>
      </c>
      <c r="Z43" s="89" t="n">
        <v>15.5</v>
      </c>
      <c r="AA43" s="89" t="n">
        <v>15.5</v>
      </c>
      <c r="AB43" s="89" t="n">
        <v>15.5</v>
      </c>
    </row>
    <row r="44" hidden="1" ht="27.75" customHeight="1">
      <c r="A44" s="71" t="n"/>
      <c r="B44" s="47" t="inlineStr">
        <is>
          <t>vaci pe om</t>
        </is>
      </c>
      <c r="C44" s="88">
        <f>C42/C43</f>
        <v/>
      </c>
      <c r="D44" s="88">
        <f>D42/D43</f>
        <v/>
      </c>
      <c r="E44" s="88">
        <f>E42/E43</f>
        <v/>
      </c>
      <c r="F44" s="88">
        <f>F42/F43</f>
        <v/>
      </c>
      <c r="G44" s="88">
        <f>G42/G43</f>
        <v/>
      </c>
      <c r="H44" s="88">
        <f>H42/H43</f>
        <v/>
      </c>
      <c r="I44" s="88">
        <f>I42/I43</f>
        <v/>
      </c>
      <c r="J44" s="88">
        <f>J42/J43</f>
        <v/>
      </c>
      <c r="K44" s="88">
        <f>K42/K43</f>
        <v/>
      </c>
      <c r="L44" s="88">
        <f>L42/L43</f>
        <v/>
      </c>
      <c r="M44" s="88">
        <f>M42/M43</f>
        <v/>
      </c>
      <c r="N44" s="88">
        <f>N42/N43</f>
        <v/>
      </c>
      <c r="O44" s="88">
        <f>O42/O43</f>
        <v/>
      </c>
      <c r="P44" s="88">
        <f>P42/P43</f>
        <v/>
      </c>
      <c r="Q44" s="88">
        <f>Q42/Q43</f>
        <v/>
      </c>
      <c r="R44" s="88">
        <f>R42/R43</f>
        <v/>
      </c>
      <c r="S44" s="88">
        <f>S42/S43</f>
        <v/>
      </c>
      <c r="T44" s="88">
        <f>T42/T43</f>
        <v/>
      </c>
      <c r="U44" s="88">
        <f>U42/U43</f>
        <v/>
      </c>
      <c r="V44" s="88">
        <f>V42/V43</f>
        <v/>
      </c>
      <c r="W44" s="88">
        <f>W42/W43</f>
        <v/>
      </c>
      <c r="X44" s="88">
        <f>X42/X43</f>
        <v/>
      </c>
      <c r="Y44" s="88">
        <f>Y42/Y43</f>
        <v/>
      </c>
      <c r="Z44" s="88">
        <f>Z42/Z43</f>
        <v/>
      </c>
      <c r="AA44" s="88">
        <f>AA42/AA43</f>
        <v/>
      </c>
      <c r="AB44" s="88">
        <f>AB42/AB43</f>
        <v/>
      </c>
      <c r="AC44" s="48">
        <f>SUM(C44:AB44)</f>
        <v/>
      </c>
      <c r="AE44" s="47" t="inlineStr">
        <is>
          <t>cost /vaca</t>
        </is>
      </c>
      <c r="AG44" s="47">
        <f>AI42/11.5</f>
        <v/>
      </c>
    </row>
    <row r="45" hidden="1" ht="27.75" customHeight="1">
      <c r="A45" s="71" t="n"/>
      <c r="B45" s="47" t="inlineStr">
        <is>
          <t>vaci 160 in 14</t>
        </is>
      </c>
      <c r="C45" s="88" t="n">
        <v>11.5</v>
      </c>
      <c r="D45" s="88" t="n">
        <v>0</v>
      </c>
      <c r="E45" s="88" t="n">
        <v>11.5</v>
      </c>
      <c r="F45" s="88" t="n">
        <v>11.5</v>
      </c>
      <c r="G45" s="88" t="n">
        <v>11.5</v>
      </c>
      <c r="H45" s="88" t="n">
        <v>11.5</v>
      </c>
      <c r="I45" s="88" t="n">
        <v>11.5</v>
      </c>
      <c r="J45" s="88" t="n">
        <v>11.5</v>
      </c>
      <c r="K45" s="88" t="n">
        <v>11.5</v>
      </c>
      <c r="L45" s="88" t="n">
        <v>11.5</v>
      </c>
      <c r="M45" s="88" t="n">
        <v>11.5</v>
      </c>
      <c r="N45" s="88" t="n">
        <v>11.5</v>
      </c>
      <c r="O45" s="88" t="n">
        <v>11.5</v>
      </c>
      <c r="P45" s="88" t="n">
        <v>11.5</v>
      </c>
      <c r="Q45" s="88" t="n">
        <v>11.5</v>
      </c>
      <c r="R45" s="88" t="n">
        <v>11.5</v>
      </c>
      <c r="S45" s="88" t="n">
        <v>0</v>
      </c>
      <c r="T45" s="88" t="n">
        <v>11.5</v>
      </c>
      <c r="U45" s="88" t="n">
        <v>0</v>
      </c>
      <c r="V45" s="88" t="n">
        <v>11.5</v>
      </c>
      <c r="W45" s="88" t="n">
        <v>11.5</v>
      </c>
      <c r="X45" s="88" t="n">
        <v>11.5</v>
      </c>
      <c r="Y45" s="88" t="n">
        <v>11.5</v>
      </c>
      <c r="Z45" s="88" t="n">
        <v>11.5</v>
      </c>
      <c r="AA45" s="88" t="n">
        <v>11.5</v>
      </c>
      <c r="AB45" s="88" t="n">
        <v>11.5</v>
      </c>
      <c r="AC45" s="48">
        <f>SUM(C45:AB45)</f>
        <v/>
      </c>
      <c r="AE45" s="47" t="inlineStr">
        <is>
          <t>bani  in plus</t>
        </is>
      </c>
      <c r="AG45" s="47">
        <f>AC46*AG44</f>
        <v/>
      </c>
    </row>
    <row r="46" hidden="1" ht="27.75" customHeight="1">
      <c r="A46" s="74" t="n"/>
      <c r="B46" s="75" t="inlineStr">
        <is>
          <t xml:space="preserve">difernta </t>
        </is>
      </c>
      <c r="C46" s="91">
        <f>C44-C45</f>
        <v/>
      </c>
      <c r="D46" s="91">
        <f>D44-D45</f>
        <v/>
      </c>
      <c r="E46" s="91">
        <f>E44-E45</f>
        <v/>
      </c>
      <c r="F46" s="91">
        <f>F44-F45</f>
        <v/>
      </c>
      <c r="G46" s="91">
        <f>G44-G45</f>
        <v/>
      </c>
      <c r="H46" s="91">
        <f>H44-H45</f>
        <v/>
      </c>
      <c r="I46" s="91">
        <f>I44-I45</f>
        <v/>
      </c>
      <c r="J46" s="91">
        <f>J44-J45</f>
        <v/>
      </c>
      <c r="K46" s="91">
        <f>K44-K45</f>
        <v/>
      </c>
      <c r="L46" s="91">
        <f>L44-L45</f>
        <v/>
      </c>
      <c r="M46" s="91">
        <f>M44-M45</f>
        <v/>
      </c>
      <c r="N46" s="91">
        <f>N44-N45</f>
        <v/>
      </c>
      <c r="O46" s="91">
        <f>O44-O45</f>
        <v/>
      </c>
      <c r="P46" s="91">
        <f>P44-P45</f>
        <v/>
      </c>
      <c r="Q46" s="91">
        <f>Q44-Q45</f>
        <v/>
      </c>
      <c r="R46" s="91">
        <f>R44-R45</f>
        <v/>
      </c>
      <c r="S46" s="91">
        <f>S44-S45</f>
        <v/>
      </c>
      <c r="T46" s="91">
        <f>T44-T45</f>
        <v/>
      </c>
      <c r="U46" s="91">
        <f>U44-U45</f>
        <v/>
      </c>
      <c r="V46" s="91">
        <f>V44-V45</f>
        <v/>
      </c>
      <c r="W46" s="91">
        <f>W44-W45</f>
        <v/>
      </c>
      <c r="X46" s="91">
        <f>X44-X45</f>
        <v/>
      </c>
      <c r="Y46" s="91">
        <f>Y44-Y45</f>
        <v/>
      </c>
      <c r="Z46" s="91">
        <f>Z44-Z45</f>
        <v/>
      </c>
      <c r="AA46" s="91">
        <f>AA44-AA45</f>
        <v/>
      </c>
      <c r="AB46" s="91">
        <f>AB44-AB45</f>
        <v/>
      </c>
      <c r="AC46" s="48">
        <f>SUM(C46:AB46)</f>
        <v/>
      </c>
    </row>
    <row r="47" ht="27.75" customHeight="1">
      <c r="B47" s="47" t="inlineStr">
        <is>
          <t>SPATA COASTE ANT</t>
        </is>
      </c>
      <c r="C47" s="49" t="n">
        <v>2.03</v>
      </c>
      <c r="D47" s="50" t="n">
        <v>3.03</v>
      </c>
      <c r="E47" s="50" t="n">
        <v>4.03</v>
      </c>
      <c r="F47" s="50" t="n">
        <v>5.03</v>
      </c>
      <c r="G47" s="50" t="n">
        <v>6.03</v>
      </c>
      <c r="H47" s="50" t="n">
        <v>7.03</v>
      </c>
      <c r="I47" s="50" t="n">
        <v>9.029999999999999</v>
      </c>
      <c r="J47" s="51" t="n">
        <v>10.03</v>
      </c>
      <c r="K47" s="50" t="n">
        <v>11.03</v>
      </c>
      <c r="L47" s="50" t="n">
        <v>12.03</v>
      </c>
      <c r="M47" s="50" t="n">
        <v>13.03</v>
      </c>
      <c r="N47" s="50" t="n">
        <v>14.03</v>
      </c>
      <c r="O47" s="50" t="n">
        <v>16.03</v>
      </c>
      <c r="P47" s="51" t="n">
        <v>17.03</v>
      </c>
      <c r="Q47" s="50" t="n">
        <v>18.03</v>
      </c>
      <c r="R47" s="51" t="n">
        <v>19.03</v>
      </c>
      <c r="S47" s="50" t="n">
        <v>20.03</v>
      </c>
      <c r="T47" s="50" t="n">
        <v>21.02</v>
      </c>
      <c r="U47" s="50" t="n">
        <v>23.03</v>
      </c>
      <c r="V47" s="50" t="n">
        <v>24.03</v>
      </c>
      <c r="W47" s="50" t="n">
        <v>25.03</v>
      </c>
      <c r="X47" s="52" t="n">
        <v>26.03</v>
      </c>
      <c r="Y47" s="54" t="n">
        <v>27.03</v>
      </c>
      <c r="Z47" s="54" t="n">
        <v>28.02</v>
      </c>
      <c r="AA47" s="54" t="n">
        <v>30.03</v>
      </c>
      <c r="AB47" s="53" t="n">
        <v>31.03</v>
      </c>
      <c r="AC47" s="55" t="inlineStr">
        <is>
          <t xml:space="preserve">VACI TRAN </t>
        </is>
      </c>
      <c r="AD47" s="56" t="inlineStr">
        <is>
          <t>ZILE</t>
        </is>
      </c>
      <c r="AE47" s="57" t="inlineStr">
        <is>
          <t>VACA ZI*160</t>
        </is>
      </c>
      <c r="AF47" s="58" t="inlineStr">
        <is>
          <t xml:space="preserve">DE PLATIT </t>
        </is>
      </c>
      <c r="AG47" s="58" t="inlineStr">
        <is>
          <t>ZILE LUCRATOARE</t>
        </is>
      </c>
      <c r="AH47" s="56" t="inlineStr">
        <is>
          <t>ZILE IN PLUS</t>
        </is>
      </c>
      <c r="AI47" s="56" t="inlineStr">
        <is>
          <t xml:space="preserve">SALAR PE ZI </t>
        </is>
      </c>
      <c r="AJ47" s="59" t="inlineStr">
        <is>
          <t xml:space="preserve">BANI IN PLUS </t>
        </is>
      </c>
      <c r="AK47" s="56" t="inlineStr">
        <is>
          <t xml:space="preserve">SALAR BAZA </t>
        </is>
      </c>
      <c r="AL47" s="56" t="inlineStr">
        <is>
          <t xml:space="preserve">TOTAL </t>
        </is>
      </c>
      <c r="AM47" s="60" t="inlineStr">
        <is>
          <t>Nume și prenume</t>
        </is>
      </c>
      <c r="AN47" s="56" t="inlineStr">
        <is>
          <t xml:space="preserve">PREMIUM SUPLIMENTAR </t>
        </is>
      </c>
    </row>
    <row r="48" ht="44.25" customHeight="1">
      <c r="A48" s="61" t="n">
        <v>5</v>
      </c>
      <c r="B48" s="62" t="inlineStr">
        <is>
          <t>CARINICIUC CRISTIAN VALENTIN</t>
        </is>
      </c>
      <c r="C48" s="63" t="n">
        <v>193</v>
      </c>
      <c r="D48" s="63">
        <f>131.5+23/6</f>
        <v/>
      </c>
      <c r="E48" s="64" t="n">
        <v>191</v>
      </c>
      <c r="F48" s="63" t="n">
        <v>191.75</v>
      </c>
      <c r="G48" s="63" t="n">
        <v>183.5</v>
      </c>
      <c r="H48" s="63" t="n">
        <v>173</v>
      </c>
      <c r="I48" s="63" t="n">
        <v>149</v>
      </c>
      <c r="J48" s="65" t="n">
        <v>0</v>
      </c>
      <c r="K48" s="63" t="n">
        <v>97.5</v>
      </c>
      <c r="L48" s="63" t="n">
        <v>146.5</v>
      </c>
      <c r="M48" s="63" t="n">
        <v>194.5</v>
      </c>
      <c r="N48" s="63" t="n">
        <v>188.5</v>
      </c>
      <c r="O48" s="63" t="n">
        <v>93</v>
      </c>
      <c r="P48" s="65" t="n">
        <v>0</v>
      </c>
      <c r="Q48" s="63">
        <f>84+6/6</f>
        <v/>
      </c>
      <c r="R48" s="65" t="n">
        <v>0</v>
      </c>
      <c r="S48" s="63">
        <f>141.5+8/6</f>
        <v/>
      </c>
      <c r="T48" s="63" t="n">
        <v>201</v>
      </c>
      <c r="U48" s="63" t="n">
        <v>191.75</v>
      </c>
      <c r="V48" s="63">
        <f>156.25+7/6</f>
        <v/>
      </c>
      <c r="W48" s="63" t="n">
        <v>166</v>
      </c>
      <c r="X48" s="63" t="n">
        <v>144.5</v>
      </c>
      <c r="Y48" s="63">
        <f>104.5+30/6</f>
        <v/>
      </c>
      <c r="Z48" s="63" t="n">
        <v>200.5</v>
      </c>
      <c r="AA48" s="63" t="n">
        <v>147</v>
      </c>
      <c r="AB48" s="65" t="n">
        <v>0</v>
      </c>
      <c r="AC48" s="66">
        <f>SUM(C48:AB48)</f>
        <v/>
      </c>
      <c r="AD48" s="67" t="n">
        <v>22</v>
      </c>
      <c r="AE48" s="67">
        <f>AD48*166</f>
        <v/>
      </c>
      <c r="AF48" s="67">
        <f>AC48-AE48</f>
        <v/>
      </c>
      <c r="AG48" s="67" t="n">
        <v>26</v>
      </c>
      <c r="AH48" s="67">
        <f>AF48/175</f>
        <v/>
      </c>
      <c r="AI48" s="67">
        <f>AK48/AG48</f>
        <v/>
      </c>
      <c r="AJ48" s="68">
        <f>AI48*AH48</f>
        <v/>
      </c>
      <c r="AK48" s="67" t="n">
        <v>7500</v>
      </c>
      <c r="AL48" s="69">
        <f>AK48+AJ48</f>
        <v/>
      </c>
      <c r="AM48" s="62" t="inlineStr">
        <is>
          <t>CARINICIUC CRISTIAN VALENTIN</t>
        </is>
      </c>
      <c r="AN48" s="70" t="n"/>
    </row>
    <row r="49" ht="27.75" customHeight="1">
      <c r="A49" s="71" t="n"/>
      <c r="B49" s="47" t="inlineStr">
        <is>
          <t>transatori</t>
        </is>
      </c>
      <c r="C49" s="72" t="n">
        <v>15</v>
      </c>
      <c r="D49" s="72" t="n">
        <v>14</v>
      </c>
      <c r="E49" s="72" t="n">
        <v>15</v>
      </c>
      <c r="F49" s="72" t="n">
        <v>16</v>
      </c>
      <c r="G49" s="72" t="n">
        <v>15</v>
      </c>
      <c r="H49" s="72" t="n">
        <v>14</v>
      </c>
      <c r="I49" s="72" t="n">
        <v>14</v>
      </c>
      <c r="J49" s="73" t="n">
        <v>0</v>
      </c>
      <c r="K49" s="72" t="n">
        <v>14</v>
      </c>
      <c r="L49" s="72" t="n">
        <v>14</v>
      </c>
      <c r="M49" s="72" t="n">
        <v>15</v>
      </c>
      <c r="N49" s="72" t="n">
        <v>16</v>
      </c>
      <c r="O49" s="72" t="n">
        <v>14</v>
      </c>
      <c r="P49" s="73" t="n">
        <v>0</v>
      </c>
      <c r="Q49" s="72" t="n">
        <v>10</v>
      </c>
      <c r="R49" s="73" t="n">
        <v>0</v>
      </c>
      <c r="S49" s="72" t="n">
        <v>15</v>
      </c>
      <c r="T49" s="72" t="n">
        <v>14</v>
      </c>
      <c r="U49" s="72" t="n">
        <v>15</v>
      </c>
      <c r="V49" s="72" t="n">
        <v>14</v>
      </c>
      <c r="W49" s="72" t="n">
        <v>13</v>
      </c>
      <c r="X49" s="72" t="n">
        <v>14</v>
      </c>
      <c r="Y49" s="72" t="n">
        <v>14</v>
      </c>
      <c r="Z49" s="72" t="n">
        <v>15</v>
      </c>
      <c r="AA49" s="72" t="n">
        <v>14</v>
      </c>
      <c r="AB49" s="73" t="n">
        <v>0</v>
      </c>
    </row>
    <row r="50" ht="27.75" customHeight="1">
      <c r="A50" s="71" t="n"/>
      <c r="B50" s="47" t="inlineStr">
        <is>
          <t>vaci pe om</t>
        </is>
      </c>
      <c r="C50" s="72">
        <f>C48/C49</f>
        <v/>
      </c>
      <c r="D50" s="72">
        <f>D48/D49</f>
        <v/>
      </c>
      <c r="E50" s="72">
        <f>E48/E49</f>
        <v/>
      </c>
      <c r="F50" s="72">
        <f>F48/F49</f>
        <v/>
      </c>
      <c r="G50" s="72">
        <f>G48/G49</f>
        <v/>
      </c>
      <c r="H50" s="72">
        <f>H48/H49</f>
        <v/>
      </c>
      <c r="I50" s="72">
        <f>I48/I49</f>
        <v/>
      </c>
      <c r="J50" s="73" t="n">
        <v>0</v>
      </c>
      <c r="K50" s="72">
        <f>K48/K49</f>
        <v/>
      </c>
      <c r="L50" s="72">
        <f>L48/L49</f>
        <v/>
      </c>
      <c r="M50" s="72">
        <f>M48/M49</f>
        <v/>
      </c>
      <c r="N50" s="72">
        <f>N48/N49</f>
        <v/>
      </c>
      <c r="O50" s="72">
        <f>O48/O49</f>
        <v/>
      </c>
      <c r="P50" s="73" t="n">
        <v>0</v>
      </c>
      <c r="Q50" s="72">
        <f>Q48/Q49</f>
        <v/>
      </c>
      <c r="R50" s="73" t="n">
        <v>0</v>
      </c>
      <c r="S50" s="72">
        <f>S48/S49</f>
        <v/>
      </c>
      <c r="T50" s="72">
        <f>T48/T49</f>
        <v/>
      </c>
      <c r="U50" s="72">
        <f>U48/U49</f>
        <v/>
      </c>
      <c r="V50" s="72">
        <f>V48/V49</f>
        <v/>
      </c>
      <c r="W50" s="72">
        <f>W48/W49</f>
        <v/>
      </c>
      <c r="X50" s="72">
        <f>X48/X49</f>
        <v/>
      </c>
      <c r="Y50" s="72">
        <f>Y48/Y49</f>
        <v/>
      </c>
      <c r="Z50" s="72">
        <f>Z48/Z49</f>
        <v/>
      </c>
      <c r="AA50" s="72">
        <f>AA48/AA49</f>
        <v/>
      </c>
      <c r="AB50" s="73" t="n">
        <v>0</v>
      </c>
      <c r="AC50" s="48">
        <f>SUM(C50:AB50)</f>
        <v/>
      </c>
      <c r="AE50" s="47" t="inlineStr">
        <is>
          <t>cost /vaca</t>
        </is>
      </c>
      <c r="AG50" s="47">
        <f>AI48/11.5</f>
        <v/>
      </c>
    </row>
    <row r="51" ht="27.75" customHeight="1">
      <c r="A51" s="71" t="n"/>
      <c r="B51" s="47" t="inlineStr">
        <is>
          <t>vaci 160 in 14</t>
        </is>
      </c>
      <c r="C51" s="72" t="n">
        <v>11.5</v>
      </c>
      <c r="D51" s="72" t="n">
        <v>11.5</v>
      </c>
      <c r="E51" s="72" t="n">
        <v>11.5</v>
      </c>
      <c r="F51" s="72" t="n">
        <v>11.5</v>
      </c>
      <c r="G51" s="72" t="n">
        <v>11.5</v>
      </c>
      <c r="H51" s="72" t="n">
        <v>11.5</v>
      </c>
      <c r="I51" s="72" t="n">
        <v>11.5</v>
      </c>
      <c r="J51" s="73" t="n">
        <v>0</v>
      </c>
      <c r="K51" s="72" t="n">
        <v>11.5</v>
      </c>
      <c r="L51" s="72" t="n">
        <v>11.5</v>
      </c>
      <c r="M51" s="72" t="n">
        <v>11.5</v>
      </c>
      <c r="N51" s="72" t="n">
        <v>11.5</v>
      </c>
      <c r="O51" s="72" t="n">
        <v>11.5</v>
      </c>
      <c r="P51" s="73" t="n">
        <v>0</v>
      </c>
      <c r="Q51" s="72" t="n">
        <v>11.5</v>
      </c>
      <c r="R51" s="73" t="n">
        <v>0</v>
      </c>
      <c r="S51" s="72" t="n">
        <v>11.5</v>
      </c>
      <c r="T51" s="72" t="n">
        <v>11.5</v>
      </c>
      <c r="U51" s="72" t="n">
        <v>11.5</v>
      </c>
      <c r="V51" s="72" t="n">
        <v>11.5</v>
      </c>
      <c r="W51" s="72" t="n">
        <v>11.5</v>
      </c>
      <c r="X51" s="72" t="n">
        <v>11.5</v>
      </c>
      <c r="Y51" s="72" t="n">
        <v>11.5</v>
      </c>
      <c r="Z51" s="72" t="n">
        <v>11.5</v>
      </c>
      <c r="AA51" s="72" t="n">
        <v>11.5</v>
      </c>
      <c r="AB51" s="73" t="n">
        <v>0</v>
      </c>
      <c r="AC51" s="48">
        <f>SUM(C51:AB51)</f>
        <v/>
      </c>
      <c r="AE51" s="47" t="inlineStr">
        <is>
          <t>bani  in plus</t>
        </is>
      </c>
      <c r="AG51" s="47">
        <f>AC52*AG50</f>
        <v/>
      </c>
    </row>
    <row r="52" ht="27.75" customHeight="1">
      <c r="A52" s="74" t="n"/>
      <c r="B52" s="75" t="inlineStr">
        <is>
          <t xml:space="preserve">difernta </t>
        </is>
      </c>
      <c r="C52" s="76">
        <f>C50-C51</f>
        <v/>
      </c>
      <c r="D52" s="76">
        <f>D50-D51</f>
        <v/>
      </c>
      <c r="E52" s="76">
        <f>E50-E51</f>
        <v/>
      </c>
      <c r="F52" s="76">
        <f>F50-F51</f>
        <v/>
      </c>
      <c r="G52" s="76">
        <f>G50-G51</f>
        <v/>
      </c>
      <c r="H52" s="76">
        <f>H50-H51</f>
        <v/>
      </c>
      <c r="I52" s="76">
        <f>I50-I51</f>
        <v/>
      </c>
      <c r="J52" s="77">
        <f>J50-J51</f>
        <v/>
      </c>
      <c r="K52" s="76">
        <f>K50-K51</f>
        <v/>
      </c>
      <c r="L52" s="76">
        <f>L50-L51</f>
        <v/>
      </c>
      <c r="M52" s="76">
        <f>M50-M51</f>
        <v/>
      </c>
      <c r="N52" s="76">
        <f>N50-N51</f>
        <v/>
      </c>
      <c r="O52" s="76">
        <f>O50-O51</f>
        <v/>
      </c>
      <c r="P52" s="77">
        <f>P50-P51</f>
        <v/>
      </c>
      <c r="Q52" s="76">
        <f>Q50-Q51</f>
        <v/>
      </c>
      <c r="R52" s="77">
        <f>R50-R51</f>
        <v/>
      </c>
      <c r="S52" s="76">
        <f>S50-S51</f>
        <v/>
      </c>
      <c r="T52" s="76">
        <f>T50-T51</f>
        <v/>
      </c>
      <c r="U52" s="76">
        <f>U50-U51</f>
        <v/>
      </c>
      <c r="V52" s="76">
        <f>V50-V51</f>
        <v/>
      </c>
      <c r="W52" s="76">
        <f>W50-W51</f>
        <v/>
      </c>
      <c r="X52" s="76">
        <f>X50-X51</f>
        <v/>
      </c>
      <c r="Y52" s="76">
        <f>Y50-Y51</f>
        <v/>
      </c>
      <c r="Z52" s="76">
        <f>Z50-Z51</f>
        <v/>
      </c>
      <c r="AA52" s="76">
        <f>AA50-AA51</f>
        <v/>
      </c>
      <c r="AB52" s="77">
        <f>AB50-AB51</f>
        <v/>
      </c>
      <c r="AC52" s="48">
        <f>SUM(C52:AB52)</f>
        <v/>
      </c>
    </row>
    <row r="53" ht="27.75" customHeight="1"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</row>
    <row r="54" ht="27.75" customHeight="1">
      <c r="B54" s="47" t="inlineStr">
        <is>
          <t>GAT SPATA</t>
        </is>
      </c>
      <c r="C54" s="49" t="n">
        <v>2.03</v>
      </c>
      <c r="D54" s="50" t="n">
        <v>3.03</v>
      </c>
      <c r="E54" s="50" t="n">
        <v>4.03</v>
      </c>
      <c r="F54" s="50" t="n">
        <v>5.03</v>
      </c>
      <c r="G54" s="50" t="n">
        <v>6.03</v>
      </c>
      <c r="H54" s="51" t="n">
        <v>7.03</v>
      </c>
      <c r="I54" s="50" t="n">
        <v>9.029999999999999</v>
      </c>
      <c r="J54" s="50" t="n">
        <v>10.03</v>
      </c>
      <c r="K54" s="51" t="n">
        <v>11.03</v>
      </c>
      <c r="L54" s="51" t="n">
        <v>12.03</v>
      </c>
      <c r="M54" s="50" t="n">
        <v>13.03</v>
      </c>
      <c r="N54" s="50" t="n">
        <v>14.03</v>
      </c>
      <c r="O54" s="50" t="n">
        <v>16.03</v>
      </c>
      <c r="P54" s="50" t="n">
        <v>17.03</v>
      </c>
      <c r="Q54" s="50" t="n">
        <v>18.03</v>
      </c>
      <c r="R54" s="50" t="n">
        <v>19.03</v>
      </c>
      <c r="S54" s="50" t="n">
        <v>20.03</v>
      </c>
      <c r="T54" s="51" t="n">
        <v>21.02</v>
      </c>
      <c r="U54" s="50" t="n">
        <v>23.03</v>
      </c>
      <c r="V54" s="50" t="n">
        <v>24.03</v>
      </c>
      <c r="W54" s="50" t="n">
        <v>25.03</v>
      </c>
      <c r="X54" s="52" t="n">
        <v>26.03</v>
      </c>
      <c r="Y54" s="54" t="n">
        <v>27.03</v>
      </c>
      <c r="Z54" s="54" t="n">
        <v>28.02</v>
      </c>
      <c r="AA54" s="54" t="n">
        <v>30.03</v>
      </c>
      <c r="AB54" s="54" t="n">
        <v>31.03</v>
      </c>
      <c r="AC54" s="55" t="inlineStr">
        <is>
          <t xml:space="preserve">VACI TRAN </t>
        </is>
      </c>
      <c r="AD54" s="56" t="inlineStr">
        <is>
          <t>ZILE</t>
        </is>
      </c>
      <c r="AE54" s="57" t="inlineStr">
        <is>
          <t>VACA ZI*160</t>
        </is>
      </c>
      <c r="AF54" s="58" t="inlineStr">
        <is>
          <t xml:space="preserve">DE PLATIT </t>
        </is>
      </c>
      <c r="AG54" s="58" t="inlineStr">
        <is>
          <t>ZILE LUCRATOARE</t>
        </is>
      </c>
      <c r="AH54" s="56" t="inlineStr">
        <is>
          <t>ZILE IN PLUS</t>
        </is>
      </c>
      <c r="AI54" s="56" t="inlineStr">
        <is>
          <t xml:space="preserve">SALAR PE ZI </t>
        </is>
      </c>
      <c r="AJ54" s="59" t="inlineStr">
        <is>
          <t xml:space="preserve">BANI IN PLUS </t>
        </is>
      </c>
      <c r="AK54" s="56" t="inlineStr">
        <is>
          <t xml:space="preserve">SALAR BAZA </t>
        </is>
      </c>
      <c r="AL54" s="56" t="inlineStr">
        <is>
          <t xml:space="preserve">TOTAL </t>
        </is>
      </c>
      <c r="AM54" s="60" t="inlineStr">
        <is>
          <t>Nume și prenume</t>
        </is>
      </c>
      <c r="AN54" s="56" t="inlineStr">
        <is>
          <t xml:space="preserve">PREMIUM SUPLIMENTAR </t>
        </is>
      </c>
    </row>
    <row r="55" ht="45.75" customHeight="1">
      <c r="A55" s="61" t="n">
        <v>6</v>
      </c>
      <c r="B55" s="62" t="inlineStr">
        <is>
          <t xml:space="preserve">CULIDIUC CLAUDIU </t>
        </is>
      </c>
      <c r="C55" s="63" t="n">
        <v>193</v>
      </c>
      <c r="D55" s="63">
        <f>131.5+23/6</f>
        <v/>
      </c>
      <c r="E55" s="64" t="n">
        <v>191</v>
      </c>
      <c r="F55" s="63" t="n">
        <v>191.75</v>
      </c>
      <c r="G55" s="63" t="n">
        <v>183.5</v>
      </c>
      <c r="H55" s="65" t="n">
        <v>0</v>
      </c>
      <c r="I55" s="63" t="n">
        <v>149</v>
      </c>
      <c r="J55" s="63" t="n">
        <v>47.5</v>
      </c>
      <c r="K55" s="65" t="n">
        <v>0</v>
      </c>
      <c r="L55" s="65" t="n">
        <v>0</v>
      </c>
      <c r="M55" s="63" t="n">
        <v>194.5</v>
      </c>
      <c r="N55" s="63" t="n">
        <v>188.5</v>
      </c>
      <c r="O55" s="63" t="n">
        <v>93</v>
      </c>
      <c r="P55" s="63" t="n">
        <v>73.5</v>
      </c>
      <c r="Q55" s="63">
        <f>84+6/6</f>
        <v/>
      </c>
      <c r="R55" s="63" t="n">
        <v>144</v>
      </c>
      <c r="S55" s="63">
        <f>141.5+8/6</f>
        <v/>
      </c>
      <c r="T55" s="65" t="n">
        <v>0</v>
      </c>
      <c r="U55" s="63" t="n">
        <v>191.75</v>
      </c>
      <c r="V55" s="63">
        <f>156.25+7/6</f>
        <v/>
      </c>
      <c r="W55" s="63" t="n">
        <v>166</v>
      </c>
      <c r="X55" s="63" t="n">
        <v>144.5</v>
      </c>
      <c r="Y55" s="63">
        <f>104.5+30/6</f>
        <v/>
      </c>
      <c r="Z55" s="63" t="n">
        <v>200.5</v>
      </c>
      <c r="AA55" s="63" t="n">
        <v>147</v>
      </c>
      <c r="AB55" s="63" t="n">
        <v>141</v>
      </c>
      <c r="AC55" s="66">
        <f>SUM(C55:AB55)</f>
        <v/>
      </c>
      <c r="AD55" s="67" t="n">
        <v>22</v>
      </c>
      <c r="AE55" s="67">
        <f>AD55*166</f>
        <v/>
      </c>
      <c r="AF55" s="67">
        <f>AC55-AE55</f>
        <v/>
      </c>
      <c r="AG55" s="67" t="n">
        <v>26</v>
      </c>
      <c r="AH55" s="67">
        <f>AF55/175</f>
        <v/>
      </c>
      <c r="AI55" s="67">
        <f>AK55/AG55</f>
        <v/>
      </c>
      <c r="AJ55" s="68">
        <f>AI55*AH55</f>
        <v/>
      </c>
      <c r="AK55" s="67" t="n">
        <v>8500</v>
      </c>
      <c r="AL55" s="69">
        <f>AK55+AJ55</f>
        <v/>
      </c>
      <c r="AM55" s="62" t="inlineStr">
        <is>
          <t xml:space="preserve">CULIDIUC CLAUDIU </t>
        </is>
      </c>
      <c r="AN55" s="83" t="n"/>
    </row>
    <row r="56" ht="27.75" customHeight="1">
      <c r="A56" s="71" t="n"/>
      <c r="B56" s="47" t="inlineStr">
        <is>
          <t>transatori</t>
        </is>
      </c>
      <c r="C56" s="72" t="n">
        <v>15</v>
      </c>
      <c r="D56" s="72" t="n">
        <v>14</v>
      </c>
      <c r="E56" s="72" t="n">
        <v>15</v>
      </c>
      <c r="F56" s="72" t="n">
        <v>16</v>
      </c>
      <c r="G56" s="72" t="n">
        <v>15</v>
      </c>
      <c r="H56" s="73" t="n">
        <v>0</v>
      </c>
      <c r="I56" s="72" t="n">
        <v>14</v>
      </c>
      <c r="J56" s="72" t="n">
        <v>9</v>
      </c>
      <c r="K56" s="73" t="n">
        <v>0</v>
      </c>
      <c r="L56" s="73" t="n">
        <v>0</v>
      </c>
      <c r="M56" s="72" t="n">
        <v>15</v>
      </c>
      <c r="N56" s="72" t="n">
        <v>16</v>
      </c>
      <c r="O56" s="72" t="n">
        <v>14</v>
      </c>
      <c r="P56" s="72" t="n">
        <v>8</v>
      </c>
      <c r="Q56" s="72" t="n">
        <v>10</v>
      </c>
      <c r="R56" s="72" t="n">
        <v>13</v>
      </c>
      <c r="S56" s="72" t="n">
        <v>15</v>
      </c>
      <c r="T56" s="73" t="n">
        <v>0</v>
      </c>
      <c r="U56" s="72" t="n">
        <v>15</v>
      </c>
      <c r="V56" s="72" t="n">
        <v>14</v>
      </c>
      <c r="W56" s="72" t="n">
        <v>13</v>
      </c>
      <c r="X56" s="72" t="n">
        <v>14</v>
      </c>
      <c r="Y56" s="72" t="n">
        <v>14</v>
      </c>
      <c r="Z56" s="72" t="n">
        <v>15</v>
      </c>
      <c r="AA56" s="72" t="n">
        <v>14</v>
      </c>
      <c r="AB56" s="72" t="n">
        <v>14</v>
      </c>
    </row>
    <row r="57" ht="27.75" customHeight="1">
      <c r="A57" s="71" t="n"/>
      <c r="B57" s="47" t="inlineStr">
        <is>
          <t>vaci pe om</t>
        </is>
      </c>
      <c r="C57" s="72">
        <f>C55/C56</f>
        <v/>
      </c>
      <c r="D57" s="72">
        <f>D55/D56</f>
        <v/>
      </c>
      <c r="E57" s="72">
        <f>E55/E56</f>
        <v/>
      </c>
      <c r="F57" s="72">
        <f>F55/F56</f>
        <v/>
      </c>
      <c r="G57" s="72">
        <f>G55/G56</f>
        <v/>
      </c>
      <c r="H57" s="73" t="n">
        <v>0</v>
      </c>
      <c r="I57" s="72">
        <f>I55/I56</f>
        <v/>
      </c>
      <c r="J57" s="72">
        <f>J55/J56</f>
        <v/>
      </c>
      <c r="K57" s="73" t="n">
        <v>0</v>
      </c>
      <c r="L57" s="73" t="n">
        <v>0</v>
      </c>
      <c r="M57" s="72">
        <f>M55/M56</f>
        <v/>
      </c>
      <c r="N57" s="72">
        <f>N55/N56</f>
        <v/>
      </c>
      <c r="O57" s="72">
        <f>O55/O56</f>
        <v/>
      </c>
      <c r="P57" s="72">
        <f>P55/P56</f>
        <v/>
      </c>
      <c r="Q57" s="72">
        <f>Q55/Q56</f>
        <v/>
      </c>
      <c r="R57" s="72">
        <f>R55/R56</f>
        <v/>
      </c>
      <c r="S57" s="72">
        <f>S55/S56</f>
        <v/>
      </c>
      <c r="T57" s="73" t="n">
        <v>0</v>
      </c>
      <c r="U57" s="72">
        <f>U55/U56</f>
        <v/>
      </c>
      <c r="V57" s="72">
        <f>V55/V56</f>
        <v/>
      </c>
      <c r="W57" s="72">
        <f>W55/W56</f>
        <v/>
      </c>
      <c r="X57" s="72">
        <f>X55/X56</f>
        <v/>
      </c>
      <c r="Y57" s="72">
        <f>Y55/Y56</f>
        <v/>
      </c>
      <c r="Z57" s="72">
        <f>Z55/Z56</f>
        <v/>
      </c>
      <c r="AA57" s="72">
        <f>AA55/AA56</f>
        <v/>
      </c>
      <c r="AB57" s="72">
        <f>AB55/AB56</f>
        <v/>
      </c>
      <c r="AC57" s="48">
        <f>SUM(C57:AB57)</f>
        <v/>
      </c>
      <c r="AE57" s="47" t="inlineStr">
        <is>
          <t>cost /vaca</t>
        </is>
      </c>
      <c r="AG57" s="47">
        <f>AI55/11.5</f>
        <v/>
      </c>
    </row>
    <row r="58" ht="27.75" customHeight="1">
      <c r="A58" s="71" t="n"/>
      <c r="B58" s="47" t="inlineStr">
        <is>
          <t>vaci 160 in 14</t>
        </is>
      </c>
      <c r="C58" s="72" t="n">
        <v>11.5</v>
      </c>
      <c r="D58" s="72" t="n">
        <v>11.5</v>
      </c>
      <c r="E58" s="72" t="n">
        <v>11.5</v>
      </c>
      <c r="F58" s="72" t="n">
        <v>11.5</v>
      </c>
      <c r="G58" s="72" t="n">
        <v>11.5</v>
      </c>
      <c r="H58" s="73" t="n">
        <v>0</v>
      </c>
      <c r="I58" s="72" t="n">
        <v>11.5</v>
      </c>
      <c r="J58" s="72" t="n">
        <v>11.5</v>
      </c>
      <c r="K58" s="73" t="n">
        <v>0</v>
      </c>
      <c r="L58" s="73" t="n">
        <v>0</v>
      </c>
      <c r="M58" s="72" t="n">
        <v>11.5</v>
      </c>
      <c r="N58" s="72" t="n">
        <v>11.5</v>
      </c>
      <c r="O58" s="72" t="n">
        <v>11.5</v>
      </c>
      <c r="P58" s="72" t="n">
        <v>11.5</v>
      </c>
      <c r="Q58" s="72" t="n">
        <v>11.5</v>
      </c>
      <c r="R58" s="72" t="n">
        <v>11.5</v>
      </c>
      <c r="S58" s="72" t="n">
        <v>11.5</v>
      </c>
      <c r="T58" s="73" t="n">
        <v>0</v>
      </c>
      <c r="U58" s="72" t="n">
        <v>11.5</v>
      </c>
      <c r="V58" s="72" t="n">
        <v>11.5</v>
      </c>
      <c r="W58" s="72" t="n">
        <v>11.5</v>
      </c>
      <c r="X58" s="72" t="n">
        <v>11.5</v>
      </c>
      <c r="Y58" s="72" t="n">
        <v>11.5</v>
      </c>
      <c r="Z58" s="72" t="n">
        <v>11.5</v>
      </c>
      <c r="AA58" s="72" t="n">
        <v>11.5</v>
      </c>
      <c r="AB58" s="72" t="n">
        <v>11.5</v>
      </c>
      <c r="AC58" s="48">
        <f>SUM(C58:AB58)</f>
        <v/>
      </c>
      <c r="AE58" s="47" t="inlineStr">
        <is>
          <t>bani  in plus</t>
        </is>
      </c>
      <c r="AG58" s="47">
        <f>AC59*AG57</f>
        <v/>
      </c>
    </row>
    <row r="59" ht="27.75" customHeight="1">
      <c r="A59" s="74" t="n"/>
      <c r="B59" s="75" t="inlineStr">
        <is>
          <t xml:space="preserve">difernta </t>
        </is>
      </c>
      <c r="C59" s="76">
        <f>C57-C58</f>
        <v/>
      </c>
      <c r="D59" s="76">
        <f>D57-D58</f>
        <v/>
      </c>
      <c r="E59" s="76">
        <f>E57-E58</f>
        <v/>
      </c>
      <c r="F59" s="76">
        <f>F57-F58</f>
        <v/>
      </c>
      <c r="G59" s="76">
        <f>G57-G58</f>
        <v/>
      </c>
      <c r="H59" s="77">
        <f>H57-H58</f>
        <v/>
      </c>
      <c r="I59" s="76">
        <f>I57-I58</f>
        <v/>
      </c>
      <c r="J59" s="76">
        <f>J57-J58</f>
        <v/>
      </c>
      <c r="K59" s="77">
        <f>K57-K58</f>
        <v/>
      </c>
      <c r="L59" s="77">
        <f>L57-L58</f>
        <v/>
      </c>
      <c r="M59" s="76">
        <f>M57-M58</f>
        <v/>
      </c>
      <c r="N59" s="76">
        <f>N57-N58</f>
        <v/>
      </c>
      <c r="O59" s="76">
        <f>O57-O58</f>
        <v/>
      </c>
      <c r="P59" s="76">
        <f>P57-P58</f>
        <v/>
      </c>
      <c r="Q59" s="76">
        <f>Q57-Q58</f>
        <v/>
      </c>
      <c r="R59" s="76">
        <f>R57-R58</f>
        <v/>
      </c>
      <c r="S59" s="76">
        <f>S57-S58</f>
        <v/>
      </c>
      <c r="T59" s="77">
        <f>T57-T58</f>
        <v/>
      </c>
      <c r="U59" s="76">
        <f>U57-U58</f>
        <v/>
      </c>
      <c r="V59" s="76">
        <f>V57-V58</f>
        <v/>
      </c>
      <c r="W59" s="76">
        <f>W57-W58</f>
        <v/>
      </c>
      <c r="X59" s="76">
        <f>X57-X58</f>
        <v/>
      </c>
      <c r="Y59" s="76">
        <f>Y57-Y58</f>
        <v/>
      </c>
      <c r="Z59" s="76">
        <f>Z57-Z58</f>
        <v/>
      </c>
      <c r="AA59" s="76">
        <f>AA57-AA58</f>
        <v/>
      </c>
      <c r="AB59" s="76">
        <f>AB57-AB58</f>
        <v/>
      </c>
      <c r="AC59" s="48">
        <f>SUM(C59:AB59)</f>
        <v/>
      </c>
    </row>
    <row r="60" ht="27.75" customHeight="1"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</row>
    <row r="61" ht="27.75" customHeight="1"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</row>
    <row r="62" ht="27.75" customHeight="1">
      <c r="B62" s="47" t="inlineStr">
        <is>
          <t>PL VR ANT</t>
        </is>
      </c>
      <c r="C62" s="49" t="n">
        <v>2.03</v>
      </c>
      <c r="D62" s="50" t="n">
        <v>3.03</v>
      </c>
      <c r="E62" s="50" t="n">
        <v>4.03</v>
      </c>
      <c r="F62" s="50" t="n">
        <v>5.03</v>
      </c>
      <c r="G62" s="50" t="n">
        <v>6.03</v>
      </c>
      <c r="H62" s="50" t="n">
        <v>7.03</v>
      </c>
      <c r="I62" s="51" t="n">
        <v>9.029999999999999</v>
      </c>
      <c r="J62" s="50" t="n">
        <v>10.03</v>
      </c>
      <c r="K62" s="50" t="n">
        <v>11.03</v>
      </c>
      <c r="L62" s="50" t="n">
        <v>12.03</v>
      </c>
      <c r="M62" s="50" t="n">
        <v>13.03</v>
      </c>
      <c r="N62" s="50" t="n">
        <v>14.03</v>
      </c>
      <c r="O62" s="50" t="n">
        <v>16.03</v>
      </c>
      <c r="P62" s="50" t="n">
        <v>17.03</v>
      </c>
      <c r="Q62" s="51" t="n">
        <v>18.03</v>
      </c>
      <c r="R62" s="50" t="n">
        <v>19.03</v>
      </c>
      <c r="S62" s="50" t="n">
        <v>20.03</v>
      </c>
      <c r="T62" s="51" t="n">
        <v>21.02</v>
      </c>
      <c r="U62" s="50" t="n">
        <v>23.03</v>
      </c>
      <c r="V62" s="50" t="n">
        <v>24.03</v>
      </c>
      <c r="W62" s="50" t="n">
        <v>25.03</v>
      </c>
      <c r="X62" s="52" t="n">
        <v>26.03</v>
      </c>
      <c r="Y62" s="54" t="n">
        <v>27.03</v>
      </c>
      <c r="Z62" s="54" t="n">
        <v>28.02</v>
      </c>
      <c r="AA62" s="54" t="n">
        <v>30.03</v>
      </c>
      <c r="AB62" s="54" t="n">
        <v>31.03</v>
      </c>
      <c r="AC62" s="55" t="inlineStr">
        <is>
          <t xml:space="preserve">VACI TRAN </t>
        </is>
      </c>
      <c r="AD62" s="56" t="inlineStr">
        <is>
          <t>ZILE</t>
        </is>
      </c>
      <c r="AE62" s="57" t="inlineStr">
        <is>
          <t>VACA ZI*160</t>
        </is>
      </c>
      <c r="AF62" s="58" t="inlineStr">
        <is>
          <t xml:space="preserve">DE PLATIT </t>
        </is>
      </c>
      <c r="AG62" s="58" t="inlineStr">
        <is>
          <t>ZILE LUCRATOARE</t>
        </is>
      </c>
      <c r="AH62" s="56" t="inlineStr">
        <is>
          <t>ZILE IN PLUS</t>
        </is>
      </c>
      <c r="AI62" s="56" t="inlineStr">
        <is>
          <t xml:space="preserve">SALAR PE ZI </t>
        </is>
      </c>
      <c r="AJ62" s="59" t="inlineStr">
        <is>
          <t xml:space="preserve">BANI IN PLUS </t>
        </is>
      </c>
      <c r="AK62" s="56" t="inlineStr">
        <is>
          <t xml:space="preserve">SALAR BAZA </t>
        </is>
      </c>
      <c r="AL62" s="56" t="inlineStr">
        <is>
          <t xml:space="preserve">TOTAL </t>
        </is>
      </c>
      <c r="AM62" s="60" t="inlineStr">
        <is>
          <t>Nume și prenume</t>
        </is>
      </c>
      <c r="AN62" s="56" t="inlineStr">
        <is>
          <t xml:space="preserve">PREMIUM SUPLIMENTAR </t>
        </is>
      </c>
    </row>
    <row r="63" ht="41.25" customHeight="1">
      <c r="A63" s="61" t="n">
        <v>7</v>
      </c>
      <c r="B63" s="62" t="inlineStr">
        <is>
          <t>CULIDIUC COSMIN</t>
        </is>
      </c>
      <c r="C63" s="63" t="n">
        <v>193</v>
      </c>
      <c r="D63" s="63">
        <f>131.5+23/6</f>
        <v/>
      </c>
      <c r="E63" s="64" t="n">
        <v>191</v>
      </c>
      <c r="F63" s="63" t="n">
        <v>191.75</v>
      </c>
      <c r="G63" s="63" t="n">
        <v>183.5</v>
      </c>
      <c r="H63" s="63" t="n">
        <v>173</v>
      </c>
      <c r="I63" s="65" t="n">
        <v>0</v>
      </c>
      <c r="J63" s="63" t="n">
        <v>47.5</v>
      </c>
      <c r="K63" s="63" t="n">
        <v>97.5</v>
      </c>
      <c r="L63" s="63" t="n">
        <v>146.5</v>
      </c>
      <c r="M63" s="63" t="n">
        <v>194.5</v>
      </c>
      <c r="N63" s="63" t="n">
        <v>188.5</v>
      </c>
      <c r="O63" s="63" t="n">
        <v>93</v>
      </c>
      <c r="P63" s="63" t="n">
        <v>73.5</v>
      </c>
      <c r="Q63" s="65" t="n">
        <v>0</v>
      </c>
      <c r="R63" s="63" t="n">
        <v>144</v>
      </c>
      <c r="S63" s="63">
        <f>141.5+8/6</f>
        <v/>
      </c>
      <c r="T63" s="65" t="n">
        <v>0</v>
      </c>
      <c r="U63" s="63" t="n">
        <v>191.75</v>
      </c>
      <c r="V63" s="63">
        <f>156.25+7/6</f>
        <v/>
      </c>
      <c r="W63" s="63" t="n">
        <v>166</v>
      </c>
      <c r="X63" s="63" t="n">
        <v>144.5</v>
      </c>
      <c r="Y63" s="63">
        <f>104.5+30/6</f>
        <v/>
      </c>
      <c r="Z63" s="63" t="n">
        <v>200.5</v>
      </c>
      <c r="AA63" s="63" t="n">
        <v>147</v>
      </c>
      <c r="AB63" s="63" t="n">
        <v>141</v>
      </c>
      <c r="AC63" s="66">
        <f>SUM(C63:AB63)</f>
        <v/>
      </c>
      <c r="AD63" s="67" t="n">
        <v>23</v>
      </c>
      <c r="AE63" s="67">
        <f>AD63*166</f>
        <v/>
      </c>
      <c r="AF63" s="67">
        <f>AC63-AE63</f>
        <v/>
      </c>
      <c r="AG63" s="67" t="n">
        <v>26</v>
      </c>
      <c r="AH63" s="67">
        <f>AF63/175</f>
        <v/>
      </c>
      <c r="AI63" s="67">
        <f>AK63/AG63</f>
        <v/>
      </c>
      <c r="AJ63" s="68">
        <f>AI63*AH63</f>
        <v/>
      </c>
      <c r="AK63" s="67" t="n">
        <v>8000</v>
      </c>
      <c r="AL63" s="69">
        <f>AK63+AJ63</f>
        <v/>
      </c>
      <c r="AM63" s="62" t="inlineStr">
        <is>
          <t>CULIDIUC COSMIN</t>
        </is>
      </c>
      <c r="AN63" s="70" t="n"/>
    </row>
    <row r="64" ht="27.75" customHeight="1">
      <c r="A64" s="71" t="n"/>
      <c r="B64" s="47" t="inlineStr">
        <is>
          <t>transatori</t>
        </is>
      </c>
      <c r="C64" s="72" t="n">
        <v>15</v>
      </c>
      <c r="D64" s="72" t="n">
        <v>14</v>
      </c>
      <c r="E64" s="72" t="n">
        <v>15</v>
      </c>
      <c r="F64" s="72" t="n">
        <v>16</v>
      </c>
      <c r="G64" s="72" t="n">
        <v>15</v>
      </c>
      <c r="H64" s="72" t="n">
        <v>14</v>
      </c>
      <c r="I64" s="73" t="n">
        <v>0</v>
      </c>
      <c r="J64" s="72" t="n">
        <v>9</v>
      </c>
      <c r="K64" s="72" t="n">
        <v>14</v>
      </c>
      <c r="L64" s="72" t="n">
        <v>14</v>
      </c>
      <c r="M64" s="72" t="n">
        <v>15</v>
      </c>
      <c r="N64" s="72" t="n">
        <v>16</v>
      </c>
      <c r="O64" s="72" t="n">
        <v>14</v>
      </c>
      <c r="P64" s="72" t="n">
        <v>8</v>
      </c>
      <c r="Q64" s="73" t="n">
        <v>0</v>
      </c>
      <c r="R64" s="72" t="n">
        <v>13</v>
      </c>
      <c r="S64" s="72" t="n">
        <v>15</v>
      </c>
      <c r="T64" s="73" t="n">
        <v>0</v>
      </c>
      <c r="U64" s="72" t="n">
        <v>15</v>
      </c>
      <c r="V64" s="72" t="n">
        <v>14</v>
      </c>
      <c r="W64" s="72" t="n">
        <v>13</v>
      </c>
      <c r="X64" s="72" t="n">
        <v>14</v>
      </c>
      <c r="Y64" s="72" t="n">
        <v>14</v>
      </c>
      <c r="Z64" s="72" t="n">
        <v>15</v>
      </c>
      <c r="AA64" s="72" t="n">
        <v>14</v>
      </c>
      <c r="AB64" s="72" t="n">
        <v>14</v>
      </c>
    </row>
    <row r="65" ht="27.75" customHeight="1">
      <c r="A65" s="71" t="n"/>
      <c r="B65" s="47" t="inlineStr">
        <is>
          <t>vaci pe om</t>
        </is>
      </c>
      <c r="C65" s="72">
        <f>C63/C64</f>
        <v/>
      </c>
      <c r="D65" s="72">
        <f>D63/D64</f>
        <v/>
      </c>
      <c r="E65" s="72">
        <f>E63/E64</f>
        <v/>
      </c>
      <c r="F65" s="72">
        <f>F63/F64</f>
        <v/>
      </c>
      <c r="G65" s="72">
        <f>G63/G64</f>
        <v/>
      </c>
      <c r="H65" s="72">
        <f>H63/H64</f>
        <v/>
      </c>
      <c r="I65" s="73" t="n">
        <v>0</v>
      </c>
      <c r="J65" s="72">
        <f>J63/J64</f>
        <v/>
      </c>
      <c r="K65" s="72">
        <f>K63/K64</f>
        <v/>
      </c>
      <c r="L65" s="72">
        <f>L63/L64</f>
        <v/>
      </c>
      <c r="M65" s="72">
        <f>M63/M64</f>
        <v/>
      </c>
      <c r="N65" s="72">
        <f>N63/N64</f>
        <v/>
      </c>
      <c r="O65" s="72">
        <f>O63/O64</f>
        <v/>
      </c>
      <c r="P65" s="72">
        <f>P63/P64</f>
        <v/>
      </c>
      <c r="Q65" s="73" t="n">
        <v>0</v>
      </c>
      <c r="R65" s="72">
        <f>R63/R64</f>
        <v/>
      </c>
      <c r="S65" s="72">
        <f>S63/S64</f>
        <v/>
      </c>
      <c r="T65" s="73" t="n">
        <v>0</v>
      </c>
      <c r="U65" s="72">
        <f>U63/U64</f>
        <v/>
      </c>
      <c r="V65" s="72">
        <f>V63/V64</f>
        <v/>
      </c>
      <c r="W65" s="72">
        <f>W63/W64</f>
        <v/>
      </c>
      <c r="X65" s="72">
        <f>X63/X64</f>
        <v/>
      </c>
      <c r="Y65" s="72">
        <f>Y63/Y64</f>
        <v/>
      </c>
      <c r="Z65" s="72">
        <f>Z63/Z64</f>
        <v/>
      </c>
      <c r="AA65" s="72">
        <f>AA63/AA64</f>
        <v/>
      </c>
      <c r="AB65" s="72">
        <f>AB63/AB64</f>
        <v/>
      </c>
      <c r="AC65" s="48">
        <f>SUM(C65:AB65)</f>
        <v/>
      </c>
      <c r="AE65" s="47" t="inlineStr">
        <is>
          <t>cost /vaca</t>
        </is>
      </c>
      <c r="AG65" s="47">
        <f>AI63/11.5</f>
        <v/>
      </c>
    </row>
    <row r="66" ht="27.75" customHeight="1">
      <c r="A66" s="71" t="n"/>
      <c r="B66" s="47" t="inlineStr">
        <is>
          <t>vaci 160 in 14</t>
        </is>
      </c>
      <c r="C66" s="72" t="n">
        <v>11.5</v>
      </c>
      <c r="D66" s="72" t="n">
        <v>11.5</v>
      </c>
      <c r="E66" s="72" t="n">
        <v>11.5</v>
      </c>
      <c r="F66" s="72" t="n">
        <v>11.5</v>
      </c>
      <c r="G66" s="72" t="n">
        <v>11.5</v>
      </c>
      <c r="H66" s="72" t="n">
        <v>11.5</v>
      </c>
      <c r="I66" s="73" t="n">
        <v>0</v>
      </c>
      <c r="J66" s="72" t="n">
        <v>11.5</v>
      </c>
      <c r="K66" s="72" t="n">
        <v>11.5</v>
      </c>
      <c r="L66" s="72" t="n">
        <v>11.5</v>
      </c>
      <c r="M66" s="72" t="n">
        <v>11.5</v>
      </c>
      <c r="N66" s="72" t="n">
        <v>11.5</v>
      </c>
      <c r="O66" s="72" t="n">
        <v>11.5</v>
      </c>
      <c r="P66" s="72" t="n">
        <v>11.5</v>
      </c>
      <c r="Q66" s="73" t="n">
        <v>0</v>
      </c>
      <c r="R66" s="72" t="n">
        <v>11.5</v>
      </c>
      <c r="S66" s="72" t="n">
        <v>11.5</v>
      </c>
      <c r="T66" s="73" t="n">
        <v>0</v>
      </c>
      <c r="U66" s="72" t="n">
        <v>11.5</v>
      </c>
      <c r="V66" s="72" t="n">
        <v>11.5</v>
      </c>
      <c r="W66" s="72" t="n">
        <v>11.5</v>
      </c>
      <c r="X66" s="72" t="n">
        <v>11.5</v>
      </c>
      <c r="Y66" s="72" t="n">
        <v>11.5</v>
      </c>
      <c r="Z66" s="72" t="n">
        <v>11.5</v>
      </c>
      <c r="AA66" s="72" t="n">
        <v>11.5</v>
      </c>
      <c r="AB66" s="72" t="n">
        <v>11.5</v>
      </c>
      <c r="AC66" s="48">
        <f>SUM(C66:AB66)</f>
        <v/>
      </c>
      <c r="AE66" s="47" t="inlineStr">
        <is>
          <t>bani  in plus</t>
        </is>
      </c>
      <c r="AG66" s="47">
        <f>AC67*AG65</f>
        <v/>
      </c>
    </row>
    <row r="67" ht="27.75" customHeight="1">
      <c r="A67" s="74" t="n"/>
      <c r="B67" s="75" t="inlineStr">
        <is>
          <t xml:space="preserve">difernta </t>
        </is>
      </c>
      <c r="C67" s="76">
        <f>C65-C66</f>
        <v/>
      </c>
      <c r="D67" s="76">
        <f>D65-D66</f>
        <v/>
      </c>
      <c r="E67" s="76">
        <f>E65-E66</f>
        <v/>
      </c>
      <c r="F67" s="76">
        <f>F65-F66</f>
        <v/>
      </c>
      <c r="G67" s="76">
        <f>G65-G66</f>
        <v/>
      </c>
      <c r="H67" s="76">
        <f>H65-H66</f>
        <v/>
      </c>
      <c r="I67" s="77">
        <f>I65-I66</f>
        <v/>
      </c>
      <c r="J67" s="76">
        <f>J65-J66</f>
        <v/>
      </c>
      <c r="K67" s="76">
        <f>K65-K66</f>
        <v/>
      </c>
      <c r="L67" s="76">
        <f>L65-L66</f>
        <v/>
      </c>
      <c r="M67" s="76">
        <f>M65-M66</f>
        <v/>
      </c>
      <c r="N67" s="76">
        <f>N65-N66</f>
        <v/>
      </c>
      <c r="O67" s="76">
        <f>O65-O66</f>
        <v/>
      </c>
      <c r="P67" s="76">
        <f>P65-P66</f>
        <v/>
      </c>
      <c r="Q67" s="77">
        <f>Q65-Q66</f>
        <v/>
      </c>
      <c r="R67" s="76">
        <f>R65-R66</f>
        <v/>
      </c>
      <c r="S67" s="76">
        <f>S65-S66</f>
        <v/>
      </c>
      <c r="T67" s="77">
        <f>T65-T66</f>
        <v/>
      </c>
      <c r="U67" s="76">
        <f>U65-U66</f>
        <v/>
      </c>
      <c r="V67" s="76">
        <f>V65-V66</f>
        <v/>
      </c>
      <c r="W67" s="76">
        <f>W65-W66</f>
        <v/>
      </c>
      <c r="X67" s="76">
        <f>X65-X66</f>
        <v/>
      </c>
      <c r="Y67" s="76">
        <f>Y65-Y66</f>
        <v/>
      </c>
      <c r="Z67" s="76">
        <f>Z65-Z66</f>
        <v/>
      </c>
      <c r="AA67" s="76">
        <f>AA65-AA66</f>
        <v/>
      </c>
      <c r="AB67" s="76">
        <f>AB65-AB66</f>
        <v/>
      </c>
      <c r="AC67" s="48">
        <f>SUM(C67:AB67)</f>
        <v/>
      </c>
    </row>
    <row r="68" ht="27.75" customHeight="1"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</row>
    <row r="69" ht="27.75" customHeight="1"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</row>
    <row r="70" ht="27.75" customHeight="1">
      <c r="B70" s="47" t="inlineStr">
        <is>
          <t>avans</t>
        </is>
      </c>
      <c r="C70" s="49" t="n">
        <v>2.03</v>
      </c>
      <c r="D70" s="50" t="n">
        <v>3.03</v>
      </c>
      <c r="E70" s="50" t="n">
        <v>4.03</v>
      </c>
      <c r="F70" s="50" t="n">
        <v>5.03</v>
      </c>
      <c r="G70" s="50" t="n">
        <v>6.03</v>
      </c>
      <c r="H70" s="50" t="n">
        <v>7.03</v>
      </c>
      <c r="I70" s="50" t="n">
        <v>9.029999999999999</v>
      </c>
      <c r="J70" s="50" t="n">
        <v>10.03</v>
      </c>
      <c r="K70" s="50" t="n">
        <v>11.03</v>
      </c>
      <c r="L70" s="50" t="n">
        <v>12.03</v>
      </c>
      <c r="M70" s="50" t="n">
        <v>13.03</v>
      </c>
      <c r="N70" s="50" t="n">
        <v>14.03</v>
      </c>
      <c r="O70" s="51" t="n">
        <v>16.03</v>
      </c>
      <c r="P70" s="50" t="n">
        <v>17.03</v>
      </c>
      <c r="Q70" s="50" t="n">
        <v>18.03</v>
      </c>
      <c r="R70" s="50" t="n">
        <v>19.03</v>
      </c>
      <c r="S70" s="50" t="n">
        <v>20.03</v>
      </c>
      <c r="T70" s="50" t="n">
        <v>21.02</v>
      </c>
      <c r="U70" s="51" t="n">
        <v>23.03</v>
      </c>
      <c r="V70" s="50" t="n">
        <v>24.03</v>
      </c>
      <c r="W70" s="50" t="n">
        <v>25.03</v>
      </c>
      <c r="X70" s="79" t="n">
        <v>26.03</v>
      </c>
      <c r="Y70" s="54" t="n">
        <v>27.03</v>
      </c>
      <c r="Z70" s="54" t="n">
        <v>28.02</v>
      </c>
      <c r="AA70" s="54" t="n">
        <v>30.03</v>
      </c>
      <c r="AB70" s="54" t="n">
        <v>31.03</v>
      </c>
      <c r="AC70" s="55" t="inlineStr">
        <is>
          <t xml:space="preserve">VACI TRAN </t>
        </is>
      </c>
      <c r="AD70" s="56" t="inlineStr">
        <is>
          <t>ZILE</t>
        </is>
      </c>
      <c r="AE70" s="57" t="inlineStr">
        <is>
          <t>VACA ZI*160</t>
        </is>
      </c>
      <c r="AF70" s="58" t="inlineStr">
        <is>
          <t xml:space="preserve">DE PLATIT </t>
        </is>
      </c>
      <c r="AG70" s="58" t="inlineStr">
        <is>
          <t>ZILE LUCRATOARE</t>
        </is>
      </c>
      <c r="AH70" s="56" t="inlineStr">
        <is>
          <t>ZILE IN PLUS</t>
        </is>
      </c>
      <c r="AI70" s="56" t="inlineStr">
        <is>
          <t xml:space="preserve">SALAR PE ZI </t>
        </is>
      </c>
      <c r="AJ70" s="59" t="inlineStr">
        <is>
          <t xml:space="preserve">BANI IN PLUS </t>
        </is>
      </c>
      <c r="AK70" s="56" t="inlineStr">
        <is>
          <t xml:space="preserve">SALAR BAZA </t>
        </is>
      </c>
      <c r="AL70" s="56" t="inlineStr">
        <is>
          <t xml:space="preserve">TOTAL </t>
        </is>
      </c>
      <c r="AM70" s="60" t="inlineStr">
        <is>
          <t>Nume și prenume</t>
        </is>
      </c>
      <c r="AN70" s="56" t="inlineStr">
        <is>
          <t xml:space="preserve">PREMIUM SUPLIMENTAR </t>
        </is>
      </c>
    </row>
    <row r="71" ht="44.25" customHeight="1">
      <c r="A71" s="61" t="n">
        <v>8</v>
      </c>
      <c r="B71" s="92" t="inlineStr">
        <is>
          <t>GHEORGHICIUC FLORIN</t>
        </is>
      </c>
      <c r="C71" s="63" t="n">
        <v>193</v>
      </c>
      <c r="D71" s="63">
        <f>131.5+23/6</f>
        <v/>
      </c>
      <c r="E71" s="64" t="n">
        <v>191</v>
      </c>
      <c r="F71" s="63" t="n">
        <v>191.75</v>
      </c>
      <c r="G71" s="63" t="n">
        <v>183.5</v>
      </c>
      <c r="H71" s="63" t="n">
        <v>173</v>
      </c>
      <c r="I71" s="63" t="n">
        <v>149</v>
      </c>
      <c r="J71" s="63" t="n">
        <v>47.5</v>
      </c>
      <c r="K71" s="63" t="n">
        <v>97.5</v>
      </c>
      <c r="L71" s="63" t="n">
        <v>146.5</v>
      </c>
      <c r="M71" s="63" t="n">
        <v>194.5</v>
      </c>
      <c r="N71" s="63" t="n">
        <v>188.5</v>
      </c>
      <c r="O71" s="65" t="n">
        <v>0</v>
      </c>
      <c r="P71" s="63" t="n">
        <v>73.5</v>
      </c>
      <c r="Q71" s="63">
        <f>84+6/6</f>
        <v/>
      </c>
      <c r="R71" s="63" t="n">
        <v>144</v>
      </c>
      <c r="S71" s="63">
        <f>141.5+8/6</f>
        <v/>
      </c>
      <c r="T71" s="63" t="n">
        <v>201</v>
      </c>
      <c r="U71" s="65" t="n">
        <v>0</v>
      </c>
      <c r="V71" s="63">
        <f>156.25+7/6</f>
        <v/>
      </c>
      <c r="W71" s="63" t="n">
        <v>166</v>
      </c>
      <c r="X71" s="65" t="n">
        <v>0</v>
      </c>
      <c r="Y71" s="63">
        <f>104.5+30/6</f>
        <v/>
      </c>
      <c r="Z71" s="63" t="n">
        <v>200.5</v>
      </c>
      <c r="AA71" s="63" t="n">
        <v>147</v>
      </c>
      <c r="AB71" s="63" t="n">
        <v>141</v>
      </c>
      <c r="AC71" s="66">
        <f>SUM(C71:AB71)</f>
        <v/>
      </c>
      <c r="AD71" s="67" t="n">
        <v>23</v>
      </c>
      <c r="AE71" s="67">
        <f>AD71*166</f>
        <v/>
      </c>
      <c r="AF71" s="67">
        <f>AC71-AE71</f>
        <v/>
      </c>
      <c r="AG71" s="67" t="n">
        <v>26</v>
      </c>
      <c r="AH71" s="67">
        <f>AF71/175</f>
        <v/>
      </c>
      <c r="AI71" s="67">
        <f>AK71/AG71</f>
        <v/>
      </c>
      <c r="AJ71" s="68">
        <f>AI71*AH71</f>
        <v/>
      </c>
      <c r="AK71" s="67" t="n">
        <v>7000</v>
      </c>
      <c r="AL71" s="69">
        <f>AK71+AJ71</f>
        <v/>
      </c>
      <c r="AM71" s="92" t="inlineStr">
        <is>
          <t>GHEORGHICIUC FLORIN</t>
        </is>
      </c>
      <c r="AN71" s="70" t="n"/>
    </row>
    <row r="72" ht="27.75" customHeight="1">
      <c r="A72" s="71" t="n"/>
      <c r="B72" s="47" t="inlineStr">
        <is>
          <t>transatori</t>
        </is>
      </c>
      <c r="C72" s="72" t="n">
        <v>15</v>
      </c>
      <c r="D72" s="72" t="n">
        <v>14</v>
      </c>
      <c r="E72" s="72" t="n">
        <v>15</v>
      </c>
      <c r="F72" s="72" t="n">
        <v>16</v>
      </c>
      <c r="G72" s="72" t="n">
        <v>15</v>
      </c>
      <c r="H72" s="72" t="n">
        <v>14</v>
      </c>
      <c r="I72" s="72" t="n">
        <v>14</v>
      </c>
      <c r="J72" s="72" t="n">
        <v>9</v>
      </c>
      <c r="K72" s="72" t="n">
        <v>14</v>
      </c>
      <c r="L72" s="72" t="n">
        <v>14</v>
      </c>
      <c r="M72" s="72" t="n">
        <v>15</v>
      </c>
      <c r="N72" s="72" t="n">
        <v>16</v>
      </c>
      <c r="O72" s="73" t="n">
        <v>0</v>
      </c>
      <c r="P72" s="72" t="n">
        <v>8</v>
      </c>
      <c r="Q72" s="72" t="n">
        <v>10</v>
      </c>
      <c r="R72" s="72" t="n">
        <v>13</v>
      </c>
      <c r="S72" s="72" t="n">
        <v>15</v>
      </c>
      <c r="T72" s="72" t="n">
        <v>14</v>
      </c>
      <c r="U72" s="73" t="n">
        <v>0</v>
      </c>
      <c r="V72" s="72" t="n">
        <v>14</v>
      </c>
      <c r="W72" s="72" t="n">
        <v>13</v>
      </c>
      <c r="X72" s="73" t="n">
        <v>0</v>
      </c>
      <c r="Y72" s="72" t="n">
        <v>14</v>
      </c>
      <c r="Z72" s="72" t="n">
        <v>15</v>
      </c>
      <c r="AA72" s="72" t="n">
        <v>14</v>
      </c>
      <c r="AB72" s="72" t="n">
        <v>14</v>
      </c>
    </row>
    <row r="73" ht="27.75" customHeight="1">
      <c r="A73" s="71" t="n"/>
      <c r="B73" s="47" t="inlineStr">
        <is>
          <t>vaci pe om</t>
        </is>
      </c>
      <c r="C73" s="72">
        <f>C71/C72</f>
        <v/>
      </c>
      <c r="D73" s="72">
        <f>D71/D72</f>
        <v/>
      </c>
      <c r="E73" s="72">
        <f>E71/E72</f>
        <v/>
      </c>
      <c r="F73" s="72">
        <f>F71/F72</f>
        <v/>
      </c>
      <c r="G73" s="72">
        <f>G71/G72</f>
        <v/>
      </c>
      <c r="H73" s="72">
        <f>H71/H72</f>
        <v/>
      </c>
      <c r="I73" s="72">
        <f>I71/I72</f>
        <v/>
      </c>
      <c r="J73" s="72">
        <f>J71/J72</f>
        <v/>
      </c>
      <c r="K73" s="72">
        <f>K71/K72</f>
        <v/>
      </c>
      <c r="L73" s="72">
        <f>L71/L72</f>
        <v/>
      </c>
      <c r="M73" s="72">
        <f>M71/M72</f>
        <v/>
      </c>
      <c r="N73" s="72">
        <f>N71/N72</f>
        <v/>
      </c>
      <c r="O73" s="73" t="n">
        <v>0</v>
      </c>
      <c r="P73" s="72">
        <f>P71/P72</f>
        <v/>
      </c>
      <c r="Q73" s="72">
        <f>Q71/Q72</f>
        <v/>
      </c>
      <c r="R73" s="72">
        <f>R71/R72</f>
        <v/>
      </c>
      <c r="S73" s="72">
        <f>S71/S72</f>
        <v/>
      </c>
      <c r="T73" s="72">
        <f>T71/T72</f>
        <v/>
      </c>
      <c r="U73" s="73" t="n">
        <v>0</v>
      </c>
      <c r="V73" s="72">
        <f>V71/V72</f>
        <v/>
      </c>
      <c r="W73" s="72">
        <f>W71/W72</f>
        <v/>
      </c>
      <c r="X73" s="73" t="n">
        <v>0</v>
      </c>
      <c r="Y73" s="72">
        <f>Y71/Y72</f>
        <v/>
      </c>
      <c r="Z73" s="72">
        <f>Z71/Z72</f>
        <v/>
      </c>
      <c r="AA73" s="72">
        <f>AA71/AA72</f>
        <v/>
      </c>
      <c r="AB73" s="72">
        <f>AB71/AB72</f>
        <v/>
      </c>
      <c r="AC73" s="48">
        <f>SUM(C73:AB73)</f>
        <v/>
      </c>
      <c r="AE73" s="47" t="inlineStr">
        <is>
          <t>cost /vaca</t>
        </is>
      </c>
      <c r="AG73" s="47">
        <f>AI71/11.5</f>
        <v/>
      </c>
    </row>
    <row r="74" ht="27.75" customHeight="1">
      <c r="A74" s="71" t="n"/>
      <c r="B74" s="47" t="inlineStr">
        <is>
          <t>vaci 160 in 14</t>
        </is>
      </c>
      <c r="C74" s="72" t="n">
        <v>11.5</v>
      </c>
      <c r="D74" s="72" t="n">
        <v>11.5</v>
      </c>
      <c r="E74" s="72" t="n">
        <v>11.5</v>
      </c>
      <c r="F74" s="72" t="n">
        <v>11.5</v>
      </c>
      <c r="G74" s="72" t="n">
        <v>11.5</v>
      </c>
      <c r="H74" s="72" t="n">
        <v>11.5</v>
      </c>
      <c r="I74" s="72" t="n">
        <v>11.5</v>
      </c>
      <c r="J74" s="72" t="n">
        <v>11.5</v>
      </c>
      <c r="K74" s="72" t="n">
        <v>11.5</v>
      </c>
      <c r="L74" s="72" t="n">
        <v>11.5</v>
      </c>
      <c r="M74" s="72" t="n">
        <v>11.5</v>
      </c>
      <c r="N74" s="72" t="n">
        <v>11.5</v>
      </c>
      <c r="O74" s="73" t="n">
        <v>0</v>
      </c>
      <c r="P74" s="72" t="n">
        <v>11.5</v>
      </c>
      <c r="Q74" s="72" t="n">
        <v>11.5</v>
      </c>
      <c r="R74" s="72" t="n">
        <v>11.5</v>
      </c>
      <c r="S74" s="72" t="n">
        <v>11.5</v>
      </c>
      <c r="T74" s="72" t="n">
        <v>11.5</v>
      </c>
      <c r="U74" s="73" t="n">
        <v>0</v>
      </c>
      <c r="V74" s="72" t="n">
        <v>11.5</v>
      </c>
      <c r="W74" s="72" t="n">
        <v>11.5</v>
      </c>
      <c r="X74" s="73" t="n">
        <v>0</v>
      </c>
      <c r="Y74" s="72" t="n">
        <v>11.5</v>
      </c>
      <c r="Z74" s="72" t="n">
        <v>11.5</v>
      </c>
      <c r="AA74" s="72" t="n">
        <v>11.5</v>
      </c>
      <c r="AB74" s="72" t="n">
        <v>11.5</v>
      </c>
      <c r="AC74" s="48">
        <f>SUM(C74:AB74)</f>
        <v/>
      </c>
      <c r="AE74" s="47" t="inlineStr">
        <is>
          <t>bani  in plus</t>
        </is>
      </c>
      <c r="AG74" s="47">
        <f>AC75*AG73</f>
        <v/>
      </c>
    </row>
    <row r="75" ht="27.75" customHeight="1">
      <c r="A75" s="74" t="n"/>
      <c r="B75" s="75" t="inlineStr">
        <is>
          <t xml:space="preserve">difernta </t>
        </is>
      </c>
      <c r="C75" s="76">
        <f>C73-C74</f>
        <v/>
      </c>
      <c r="D75" s="76">
        <f>D73-D74</f>
        <v/>
      </c>
      <c r="E75" s="76">
        <f>E73-E74</f>
        <v/>
      </c>
      <c r="F75" s="76">
        <f>F73-F74</f>
        <v/>
      </c>
      <c r="G75" s="76">
        <f>G73-G74</f>
        <v/>
      </c>
      <c r="H75" s="76">
        <f>H73-H74</f>
        <v/>
      </c>
      <c r="I75" s="76">
        <f>I73-I74</f>
        <v/>
      </c>
      <c r="J75" s="76">
        <f>J73-J74</f>
        <v/>
      </c>
      <c r="K75" s="76">
        <f>K73-K74</f>
        <v/>
      </c>
      <c r="L75" s="76">
        <f>L73-L74</f>
        <v/>
      </c>
      <c r="M75" s="76">
        <f>M73-M74</f>
        <v/>
      </c>
      <c r="N75" s="76">
        <f>N73-N74</f>
        <v/>
      </c>
      <c r="O75" s="77">
        <f>O73-O74</f>
        <v/>
      </c>
      <c r="P75" s="76">
        <f>P73-P74</f>
        <v/>
      </c>
      <c r="Q75" s="76">
        <f>Q73-Q74</f>
        <v/>
      </c>
      <c r="R75" s="76">
        <f>R73-R74</f>
        <v/>
      </c>
      <c r="S75" s="76">
        <f>S73-S74</f>
        <v/>
      </c>
      <c r="T75" s="76">
        <f>T73-T74</f>
        <v/>
      </c>
      <c r="U75" s="77">
        <f>U73-U74</f>
        <v/>
      </c>
      <c r="V75" s="76">
        <f>V73-V74</f>
        <v/>
      </c>
      <c r="W75" s="76">
        <f>W73-W74</f>
        <v/>
      </c>
      <c r="X75" s="77">
        <f>X73-X74</f>
        <v/>
      </c>
      <c r="Y75" s="76">
        <f>Y73-Y74</f>
        <v/>
      </c>
      <c r="Z75" s="76">
        <f>Z73-Z74</f>
        <v/>
      </c>
      <c r="AA75" s="76">
        <f>AA73-AA74</f>
        <v/>
      </c>
      <c r="AB75" s="76">
        <f>AB73-AB74</f>
        <v/>
      </c>
      <c r="AC75" s="48">
        <f>SUM(C75:AB75)</f>
        <v/>
      </c>
    </row>
    <row r="76" ht="27.75" customHeight="1"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</row>
    <row r="77" ht="27.75" customHeight="1">
      <c r="B77" s="47" t="inlineStr">
        <is>
          <t>GAT COASTE</t>
        </is>
      </c>
      <c r="C77" s="49" t="n">
        <v>2.03</v>
      </c>
      <c r="D77" s="50" t="n">
        <v>3.03</v>
      </c>
      <c r="E77" s="50" t="n">
        <v>4.03</v>
      </c>
      <c r="F77" s="50" t="n">
        <v>5.03</v>
      </c>
      <c r="G77" s="50" t="n">
        <v>6.03</v>
      </c>
      <c r="H77" s="50" t="n">
        <v>7.03</v>
      </c>
      <c r="I77" s="50" t="n">
        <v>9.029999999999999</v>
      </c>
      <c r="J77" s="51" t="n">
        <v>10.03</v>
      </c>
      <c r="K77" s="50" t="n">
        <v>11.03</v>
      </c>
      <c r="L77" s="50" t="n">
        <v>12.03</v>
      </c>
      <c r="M77" s="50" t="n">
        <v>13.03</v>
      </c>
      <c r="N77" s="50" t="n">
        <v>14.03</v>
      </c>
      <c r="O77" s="50" t="n">
        <v>16.03</v>
      </c>
      <c r="P77" s="50" t="n">
        <v>17.03</v>
      </c>
      <c r="Q77" s="50" t="n">
        <v>18.03</v>
      </c>
      <c r="R77" s="50" t="n">
        <v>19.03</v>
      </c>
      <c r="S77" s="50" t="n">
        <v>20.03</v>
      </c>
      <c r="T77" s="50" t="n">
        <v>21.02</v>
      </c>
      <c r="U77" s="50" t="n">
        <v>23.03</v>
      </c>
      <c r="V77" s="50" t="n">
        <v>24.03</v>
      </c>
      <c r="W77" s="51" t="n">
        <v>25.03</v>
      </c>
      <c r="X77" s="52" t="n">
        <v>26.03</v>
      </c>
      <c r="Y77" s="54" t="n">
        <v>27.03</v>
      </c>
      <c r="Z77" s="54" t="n">
        <v>28.02</v>
      </c>
      <c r="AA77" s="54" t="n">
        <v>30.03</v>
      </c>
      <c r="AB77" s="54" t="n">
        <v>31.03</v>
      </c>
      <c r="AC77" s="55" t="inlineStr">
        <is>
          <t xml:space="preserve">VACI TRAN </t>
        </is>
      </c>
      <c r="AD77" s="56" t="inlineStr">
        <is>
          <t>ZILE</t>
        </is>
      </c>
      <c r="AE77" s="57" t="inlineStr">
        <is>
          <t>VACA ZI*160</t>
        </is>
      </c>
      <c r="AF77" s="58" t="inlineStr">
        <is>
          <t xml:space="preserve">DE PLATIT </t>
        </is>
      </c>
      <c r="AG77" s="58" t="inlineStr">
        <is>
          <t>ZILE LUCRATOARE</t>
        </is>
      </c>
      <c r="AH77" s="56" t="inlineStr">
        <is>
          <t>ZILE IN PLUS</t>
        </is>
      </c>
      <c r="AI77" s="56" t="inlineStr">
        <is>
          <t xml:space="preserve">SALAR PE ZI </t>
        </is>
      </c>
      <c r="AJ77" s="59" t="inlineStr">
        <is>
          <t xml:space="preserve">BANI IN PLUS </t>
        </is>
      </c>
      <c r="AK77" s="56" t="inlineStr">
        <is>
          <t xml:space="preserve">SALAR BAZA </t>
        </is>
      </c>
      <c r="AL77" s="56" t="inlineStr">
        <is>
          <t xml:space="preserve">TOTAL </t>
        </is>
      </c>
      <c r="AM77" s="60" t="inlineStr">
        <is>
          <t>Nume și prenume</t>
        </is>
      </c>
      <c r="AN77" s="56" t="inlineStr">
        <is>
          <t xml:space="preserve">PREMIUM SUPLIMENTAR </t>
        </is>
      </c>
    </row>
    <row r="78" ht="39.75" customHeight="1">
      <c r="A78" s="61" t="n">
        <v>9</v>
      </c>
      <c r="B78" s="62" t="inlineStr">
        <is>
          <t xml:space="preserve">LUCHIAN IONEL </t>
        </is>
      </c>
      <c r="C78" s="63" t="n">
        <v>193</v>
      </c>
      <c r="D78" s="63">
        <f>131.5+23/6</f>
        <v/>
      </c>
      <c r="E78" s="64" t="n">
        <v>191</v>
      </c>
      <c r="F78" s="63" t="n">
        <v>191.75</v>
      </c>
      <c r="G78" s="63" t="n">
        <v>183.5</v>
      </c>
      <c r="H78" s="63" t="n">
        <v>173</v>
      </c>
      <c r="I78" s="63" t="n">
        <v>149</v>
      </c>
      <c r="J78" s="65" t="n">
        <v>0</v>
      </c>
      <c r="K78" s="63" t="n">
        <v>97.5</v>
      </c>
      <c r="L78" s="63" t="n">
        <v>146.5</v>
      </c>
      <c r="M78" s="63" t="n">
        <v>194.5</v>
      </c>
      <c r="N78" s="63" t="n">
        <v>188.5</v>
      </c>
      <c r="O78" s="63" t="n">
        <v>93</v>
      </c>
      <c r="P78" s="63" t="n">
        <v>73.5</v>
      </c>
      <c r="Q78" s="63">
        <f>84+6/6</f>
        <v/>
      </c>
      <c r="R78" s="63" t="n">
        <v>144</v>
      </c>
      <c r="S78" s="63">
        <f>141.5+8/6</f>
        <v/>
      </c>
      <c r="T78" s="63" t="n">
        <v>201</v>
      </c>
      <c r="U78" s="63" t="n">
        <v>191.75</v>
      </c>
      <c r="V78" s="63">
        <f>156.25+7/6</f>
        <v/>
      </c>
      <c r="W78" s="65" t="n">
        <v>0</v>
      </c>
      <c r="X78" s="63" t="n">
        <v>144.5</v>
      </c>
      <c r="Y78" s="63">
        <f>104.5+30/6</f>
        <v/>
      </c>
      <c r="Z78" s="63" t="n">
        <v>200.5</v>
      </c>
      <c r="AA78" s="63" t="n">
        <v>147</v>
      </c>
      <c r="AB78" s="63" t="n">
        <v>141</v>
      </c>
      <c r="AC78" s="66">
        <f>SUM(C78:AB78)</f>
        <v/>
      </c>
      <c r="AD78" s="67" t="n">
        <v>24</v>
      </c>
      <c r="AE78" s="67">
        <f>AD78*166</f>
        <v/>
      </c>
      <c r="AF78" s="67">
        <f>AC78-AE78</f>
        <v/>
      </c>
      <c r="AG78" s="67" t="n">
        <v>26</v>
      </c>
      <c r="AH78" s="67">
        <f>AF78/175</f>
        <v/>
      </c>
      <c r="AI78" s="67">
        <f>AK78/AG78</f>
        <v/>
      </c>
      <c r="AJ78" s="68">
        <f>AI78*AH78</f>
        <v/>
      </c>
      <c r="AK78" s="67" t="n">
        <v>9000</v>
      </c>
      <c r="AL78" s="69">
        <f>AK78+AJ78</f>
        <v/>
      </c>
      <c r="AM78" s="62" t="inlineStr">
        <is>
          <t xml:space="preserve">LUCHIAN IONEL </t>
        </is>
      </c>
      <c r="AN78" s="93" t="n"/>
    </row>
    <row r="79" ht="27.75" customHeight="1">
      <c r="A79" s="71" t="n"/>
      <c r="B79" s="47" t="inlineStr">
        <is>
          <t>transatori</t>
        </is>
      </c>
      <c r="C79" s="72" t="n">
        <v>15</v>
      </c>
      <c r="D79" s="72" t="n">
        <v>14</v>
      </c>
      <c r="E79" s="72" t="n">
        <v>15</v>
      </c>
      <c r="F79" s="72" t="n">
        <v>16</v>
      </c>
      <c r="G79" s="72" t="n">
        <v>15</v>
      </c>
      <c r="H79" s="72" t="n">
        <v>14</v>
      </c>
      <c r="I79" s="72" t="n">
        <v>14</v>
      </c>
      <c r="J79" s="73" t="n">
        <v>0</v>
      </c>
      <c r="K79" s="72" t="n">
        <v>14</v>
      </c>
      <c r="L79" s="72" t="n">
        <v>14</v>
      </c>
      <c r="M79" s="72" t="n">
        <v>15</v>
      </c>
      <c r="N79" s="72" t="n">
        <v>16</v>
      </c>
      <c r="O79" s="72" t="n">
        <v>14</v>
      </c>
      <c r="P79" s="72" t="n">
        <v>8</v>
      </c>
      <c r="Q79" s="72" t="n">
        <v>10</v>
      </c>
      <c r="R79" s="72" t="n">
        <v>13</v>
      </c>
      <c r="S79" s="72" t="n">
        <v>15</v>
      </c>
      <c r="T79" s="72" t="n">
        <v>14</v>
      </c>
      <c r="U79" s="72" t="n">
        <v>15</v>
      </c>
      <c r="V79" s="72" t="n">
        <v>14</v>
      </c>
      <c r="W79" s="73" t="n">
        <v>0</v>
      </c>
      <c r="X79" s="72" t="n">
        <v>14</v>
      </c>
      <c r="Y79" s="72" t="n">
        <v>14</v>
      </c>
      <c r="Z79" s="72" t="n">
        <v>15</v>
      </c>
      <c r="AA79" s="72" t="n">
        <v>14</v>
      </c>
      <c r="AB79" s="72" t="n">
        <v>14</v>
      </c>
    </row>
    <row r="80" ht="27.75" customHeight="1">
      <c r="A80" s="71" t="n"/>
      <c r="B80" s="47" t="inlineStr">
        <is>
          <t>vaci pe om</t>
        </is>
      </c>
      <c r="C80" s="72">
        <f>C78/C79</f>
        <v/>
      </c>
      <c r="D80" s="72">
        <f>D78/D79</f>
        <v/>
      </c>
      <c r="E80" s="72">
        <f>E78/E79</f>
        <v/>
      </c>
      <c r="F80" s="72">
        <f>F78/F79</f>
        <v/>
      </c>
      <c r="G80" s="72">
        <f>G78/G79</f>
        <v/>
      </c>
      <c r="H80" s="72">
        <f>H78/H79</f>
        <v/>
      </c>
      <c r="I80" s="72">
        <f>I78/I79</f>
        <v/>
      </c>
      <c r="J80" s="73" t="n">
        <v>0</v>
      </c>
      <c r="K80" s="72">
        <f>K78/K79</f>
        <v/>
      </c>
      <c r="L80" s="72">
        <f>L78/L79</f>
        <v/>
      </c>
      <c r="M80" s="72">
        <f>M78/M79</f>
        <v/>
      </c>
      <c r="N80" s="72">
        <f>N78/N79</f>
        <v/>
      </c>
      <c r="O80" s="72">
        <f>O78/O79</f>
        <v/>
      </c>
      <c r="P80" s="72">
        <f>P78/P79</f>
        <v/>
      </c>
      <c r="Q80" s="72">
        <f>Q78/Q79</f>
        <v/>
      </c>
      <c r="R80" s="72">
        <f>R78/R79</f>
        <v/>
      </c>
      <c r="S80" s="72">
        <f>S78/S79</f>
        <v/>
      </c>
      <c r="T80" s="72">
        <f>T78/T79</f>
        <v/>
      </c>
      <c r="U80" s="72">
        <f>U78/U79</f>
        <v/>
      </c>
      <c r="V80" s="72">
        <f>V78/V79</f>
        <v/>
      </c>
      <c r="W80" s="73" t="n">
        <v>0</v>
      </c>
      <c r="X80" s="72">
        <f>X78/X79</f>
        <v/>
      </c>
      <c r="Y80" s="72">
        <f>Y78/Y79</f>
        <v/>
      </c>
      <c r="Z80" s="72">
        <f>Z78/Z79</f>
        <v/>
      </c>
      <c r="AA80" s="72">
        <f>AA78/AA79</f>
        <v/>
      </c>
      <c r="AB80" s="72">
        <f>AB78/AB79</f>
        <v/>
      </c>
      <c r="AC80" s="48">
        <f>SUM(C80:AB80)</f>
        <v/>
      </c>
      <c r="AE80" s="47" t="inlineStr">
        <is>
          <t>cost /vaca</t>
        </is>
      </c>
      <c r="AG80" s="47">
        <f>AI78/11.5</f>
        <v/>
      </c>
    </row>
    <row r="81" ht="27.75" customHeight="1">
      <c r="A81" s="71" t="n"/>
      <c r="B81" s="47" t="inlineStr">
        <is>
          <t>vaci 160 in 14</t>
        </is>
      </c>
      <c r="C81" s="72" t="n">
        <v>11.5</v>
      </c>
      <c r="D81" s="72" t="n">
        <v>11.5</v>
      </c>
      <c r="E81" s="72" t="n">
        <v>11.5</v>
      </c>
      <c r="F81" s="72" t="n">
        <v>11.5</v>
      </c>
      <c r="G81" s="72" t="n">
        <v>11.5</v>
      </c>
      <c r="H81" s="72" t="n">
        <v>11.5</v>
      </c>
      <c r="I81" s="72" t="n">
        <v>11.5</v>
      </c>
      <c r="J81" s="73" t="n">
        <v>0</v>
      </c>
      <c r="K81" s="72" t="n">
        <v>11.5</v>
      </c>
      <c r="L81" s="72" t="n">
        <v>11.5</v>
      </c>
      <c r="M81" s="72" t="n">
        <v>11.5</v>
      </c>
      <c r="N81" s="72" t="n">
        <v>11.5</v>
      </c>
      <c r="O81" s="72" t="n">
        <v>11.5</v>
      </c>
      <c r="P81" s="72" t="n">
        <v>11.5</v>
      </c>
      <c r="Q81" s="72" t="n">
        <v>11.5</v>
      </c>
      <c r="R81" s="72" t="n">
        <v>11.5</v>
      </c>
      <c r="S81" s="72" t="n">
        <v>11.5</v>
      </c>
      <c r="T81" s="72" t="n">
        <v>11.5</v>
      </c>
      <c r="U81" s="72" t="n">
        <v>11.5</v>
      </c>
      <c r="V81" s="72" t="n">
        <v>11.5</v>
      </c>
      <c r="W81" s="73" t="n">
        <v>0</v>
      </c>
      <c r="X81" s="72" t="n">
        <v>11.5</v>
      </c>
      <c r="Y81" s="72" t="n">
        <v>11.5</v>
      </c>
      <c r="Z81" s="72" t="n">
        <v>11.5</v>
      </c>
      <c r="AA81" s="72" t="n">
        <v>11.5</v>
      </c>
      <c r="AB81" s="72" t="n">
        <v>11.5</v>
      </c>
      <c r="AC81" s="48">
        <f>SUM(C81:AB81)</f>
        <v/>
      </c>
      <c r="AE81" s="47" t="inlineStr">
        <is>
          <t>bani  in plus</t>
        </is>
      </c>
      <c r="AG81" s="47">
        <f>AC82*AG80</f>
        <v/>
      </c>
    </row>
    <row r="82" ht="27.75" customHeight="1">
      <c r="A82" s="74" t="n"/>
      <c r="B82" s="75" t="inlineStr">
        <is>
          <t xml:space="preserve">difernta </t>
        </is>
      </c>
      <c r="C82" s="76">
        <f>C80-C81</f>
        <v/>
      </c>
      <c r="D82" s="76">
        <f>D80-D81</f>
        <v/>
      </c>
      <c r="E82" s="76">
        <f>E80-E81</f>
        <v/>
      </c>
      <c r="F82" s="76">
        <f>F80-F81</f>
        <v/>
      </c>
      <c r="G82" s="76">
        <f>G80-G81</f>
        <v/>
      </c>
      <c r="H82" s="76">
        <f>H80-H81</f>
        <v/>
      </c>
      <c r="I82" s="76">
        <f>I80-I81</f>
        <v/>
      </c>
      <c r="J82" s="77">
        <f>J80-J81</f>
        <v/>
      </c>
      <c r="K82" s="76">
        <f>K80-K81</f>
        <v/>
      </c>
      <c r="L82" s="76">
        <f>L80-L81</f>
        <v/>
      </c>
      <c r="M82" s="76">
        <f>M80-M81</f>
        <v/>
      </c>
      <c r="N82" s="76">
        <f>N80-N81</f>
        <v/>
      </c>
      <c r="O82" s="76">
        <f>O80-O81</f>
        <v/>
      </c>
      <c r="P82" s="76">
        <f>P80-P81</f>
        <v/>
      </c>
      <c r="Q82" s="76">
        <f>Q80-Q81</f>
        <v/>
      </c>
      <c r="R82" s="76">
        <f>R80-R81</f>
        <v/>
      </c>
      <c r="S82" s="76">
        <f>S80-S81</f>
        <v/>
      </c>
      <c r="T82" s="76">
        <f>T80-T81</f>
        <v/>
      </c>
      <c r="U82" s="76">
        <f>U80-U81</f>
        <v/>
      </c>
      <c r="V82" s="76">
        <f>V80-V81</f>
        <v/>
      </c>
      <c r="W82" s="77">
        <f>W80-W81</f>
        <v/>
      </c>
      <c r="X82" s="76">
        <f>X80-X81</f>
        <v/>
      </c>
      <c r="Y82" s="76">
        <f>Y80-Y81</f>
        <v/>
      </c>
      <c r="Z82" s="76">
        <f>Z80-Z81</f>
        <v/>
      </c>
      <c r="AA82" s="76">
        <f>AA80-AA81</f>
        <v/>
      </c>
      <c r="AB82" s="76">
        <f>AB80-AB81</f>
        <v/>
      </c>
      <c r="AC82" s="48">
        <f>SUM(C82:AB82)</f>
        <v/>
      </c>
    </row>
    <row r="83" ht="27.75" customHeight="1"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</row>
    <row r="84" ht="27.75" customHeight="1"/>
    <row r="85" ht="30.75" customHeight="1">
      <c r="B85" s="47" t="inlineStr">
        <is>
          <t>ANT COASTE</t>
        </is>
      </c>
      <c r="C85" s="49" t="n">
        <v>2.03</v>
      </c>
      <c r="D85" s="50" t="n">
        <v>3.03</v>
      </c>
      <c r="E85" s="50" t="n">
        <v>4.03</v>
      </c>
      <c r="F85" s="50" t="n">
        <v>5.03</v>
      </c>
      <c r="G85" s="50" t="n">
        <v>6.03</v>
      </c>
      <c r="H85" s="50" t="n">
        <v>7.03</v>
      </c>
      <c r="I85" s="50" t="n">
        <v>9.029999999999999</v>
      </c>
      <c r="J85" s="50" t="n">
        <v>10.03</v>
      </c>
      <c r="K85" s="50" t="n">
        <v>11.03</v>
      </c>
      <c r="L85" s="51" t="n">
        <v>12.03</v>
      </c>
      <c r="M85" s="50" t="n">
        <v>13.03</v>
      </c>
      <c r="N85" s="50" t="n">
        <v>14.03</v>
      </c>
      <c r="O85" s="50" t="n">
        <v>16.03</v>
      </c>
      <c r="P85" s="50" t="n">
        <v>17.03</v>
      </c>
      <c r="Q85" s="51" t="n">
        <v>18.03</v>
      </c>
      <c r="R85" s="50" t="n">
        <v>19.03</v>
      </c>
      <c r="S85" s="50" t="n">
        <v>20.03</v>
      </c>
      <c r="T85" s="50" t="n">
        <v>21.02</v>
      </c>
      <c r="U85" s="50" t="n">
        <v>23.03</v>
      </c>
      <c r="V85" s="50" t="n">
        <v>24.03</v>
      </c>
      <c r="W85" s="50" t="n">
        <v>25.03</v>
      </c>
      <c r="X85" s="52" t="n">
        <v>26.03</v>
      </c>
      <c r="Y85" s="54" t="n">
        <v>27.03</v>
      </c>
      <c r="Z85" s="54" t="n">
        <v>28.02</v>
      </c>
      <c r="AA85" s="54" t="n">
        <v>30.03</v>
      </c>
      <c r="AB85" s="54" t="n">
        <v>31.03</v>
      </c>
      <c r="AC85" s="55" t="inlineStr">
        <is>
          <t xml:space="preserve">VACI TRAN </t>
        </is>
      </c>
      <c r="AD85" s="56" t="inlineStr">
        <is>
          <t>ZILE</t>
        </is>
      </c>
      <c r="AE85" s="57" t="inlineStr">
        <is>
          <t>VACA ZI*160</t>
        </is>
      </c>
      <c r="AF85" s="58" t="inlineStr">
        <is>
          <t xml:space="preserve">DE PLATIT </t>
        </is>
      </c>
      <c r="AG85" s="58" t="inlineStr">
        <is>
          <t>ZILE LUCRATOARE</t>
        </is>
      </c>
      <c r="AH85" s="56" t="inlineStr">
        <is>
          <t>ZILE IN PLUS</t>
        </is>
      </c>
      <c r="AI85" s="56" t="inlineStr">
        <is>
          <t xml:space="preserve">SALAR PE ZI </t>
        </is>
      </c>
      <c r="AJ85" s="59" t="inlineStr">
        <is>
          <t xml:space="preserve">BANI IN PLUS </t>
        </is>
      </c>
      <c r="AK85" s="56" t="inlineStr">
        <is>
          <t xml:space="preserve">SALAR BAZA </t>
        </is>
      </c>
      <c r="AL85" s="56" t="inlineStr">
        <is>
          <t xml:space="preserve">TOTAL </t>
        </is>
      </c>
      <c r="AM85" s="60" t="inlineStr">
        <is>
          <t>Nume și prenume</t>
        </is>
      </c>
      <c r="AN85" s="56" t="inlineStr">
        <is>
          <t xml:space="preserve">PREMIUM SUPLIMENTAR </t>
        </is>
      </c>
    </row>
    <row r="86" ht="39.75" customHeight="1">
      <c r="A86" s="61" t="n">
        <v>10</v>
      </c>
      <c r="B86" s="62" t="inlineStr">
        <is>
          <t>MATEIUC FLORIN</t>
        </is>
      </c>
      <c r="C86" s="63" t="n">
        <v>193</v>
      </c>
      <c r="D86" s="63">
        <f>131.5+23/6</f>
        <v/>
      </c>
      <c r="E86" s="64" t="n">
        <v>191</v>
      </c>
      <c r="F86" s="63" t="n">
        <v>191.75</v>
      </c>
      <c r="G86" s="63" t="n">
        <v>183.5</v>
      </c>
      <c r="H86" s="63" t="n">
        <v>173</v>
      </c>
      <c r="I86" s="63" t="n">
        <v>149</v>
      </c>
      <c r="J86" s="63" t="n">
        <v>47.5</v>
      </c>
      <c r="K86" s="63" t="n">
        <v>97.5</v>
      </c>
      <c r="L86" s="65" t="n">
        <v>0</v>
      </c>
      <c r="M86" s="63" t="n">
        <v>194.5</v>
      </c>
      <c r="N86" s="63" t="n">
        <v>188.5</v>
      </c>
      <c r="O86" s="63" t="n">
        <v>93</v>
      </c>
      <c r="P86" s="63" t="n">
        <v>73.5</v>
      </c>
      <c r="Q86" s="65" t="n">
        <v>0</v>
      </c>
      <c r="R86" s="63" t="n">
        <v>144</v>
      </c>
      <c r="S86" s="63">
        <f>141.5+8/6</f>
        <v/>
      </c>
      <c r="T86" s="63" t="n">
        <v>201</v>
      </c>
      <c r="U86" s="63" t="n">
        <v>191.75</v>
      </c>
      <c r="V86" s="63">
        <f>156.25+7/6</f>
        <v/>
      </c>
      <c r="W86" s="63" t="n">
        <v>166</v>
      </c>
      <c r="X86" s="63" t="n">
        <v>144.5</v>
      </c>
      <c r="Y86" s="63">
        <f>104.5+30/6</f>
        <v/>
      </c>
      <c r="Z86" s="63" t="n">
        <v>200.5</v>
      </c>
      <c r="AA86" s="63" t="n">
        <v>147</v>
      </c>
      <c r="AB86" s="63" t="n">
        <v>141</v>
      </c>
      <c r="AC86" s="66">
        <f>SUM(C86:AB86)</f>
        <v/>
      </c>
      <c r="AD86" s="67" t="n">
        <v>24</v>
      </c>
      <c r="AE86" s="67">
        <f>AD86*166</f>
        <v/>
      </c>
      <c r="AF86" s="67">
        <f>AC86-AE86</f>
        <v/>
      </c>
      <c r="AG86" s="67" t="n">
        <v>26</v>
      </c>
      <c r="AH86" s="67">
        <f>AF86/175</f>
        <v/>
      </c>
      <c r="AI86" s="67">
        <f>AK86/AG86</f>
        <v/>
      </c>
      <c r="AJ86" s="68">
        <f>AI86*AH86</f>
        <v/>
      </c>
      <c r="AK86" s="67" t="n">
        <v>7500</v>
      </c>
      <c r="AL86" s="69">
        <f>AK86+AJ86</f>
        <v/>
      </c>
      <c r="AM86" s="62" t="inlineStr">
        <is>
          <t>MATEIUC FLORIN</t>
        </is>
      </c>
      <c r="AN86" s="83" t="n"/>
    </row>
    <row r="87" ht="27.75" customHeight="1">
      <c r="A87" s="71" t="n"/>
      <c r="B87" s="47" t="inlineStr">
        <is>
          <t>transatori</t>
        </is>
      </c>
      <c r="C87" s="72" t="n">
        <v>15</v>
      </c>
      <c r="D87" s="72" t="n">
        <v>14</v>
      </c>
      <c r="E87" s="72" t="n">
        <v>15</v>
      </c>
      <c r="F87" s="72" t="n">
        <v>16</v>
      </c>
      <c r="G87" s="72" t="n">
        <v>15</v>
      </c>
      <c r="H87" s="72" t="n">
        <v>14</v>
      </c>
      <c r="I87" s="72" t="n">
        <v>14</v>
      </c>
      <c r="J87" s="72" t="n">
        <v>9</v>
      </c>
      <c r="K87" s="72" t="n">
        <v>14</v>
      </c>
      <c r="L87" s="73" t="n">
        <v>0</v>
      </c>
      <c r="M87" s="72" t="n">
        <v>15</v>
      </c>
      <c r="N87" s="72" t="n">
        <v>16</v>
      </c>
      <c r="O87" s="72" t="n">
        <v>14</v>
      </c>
      <c r="P87" s="72" t="n">
        <v>8</v>
      </c>
      <c r="Q87" s="73" t="n">
        <v>0</v>
      </c>
      <c r="R87" s="72" t="n">
        <v>13</v>
      </c>
      <c r="S87" s="72" t="n">
        <v>15</v>
      </c>
      <c r="T87" s="72" t="n">
        <v>14</v>
      </c>
      <c r="U87" s="72" t="n">
        <v>15</v>
      </c>
      <c r="V87" s="72" t="n">
        <v>14</v>
      </c>
      <c r="W87" s="72" t="n">
        <v>13</v>
      </c>
      <c r="X87" s="72" t="n">
        <v>14</v>
      </c>
      <c r="Y87" s="72" t="n">
        <v>14</v>
      </c>
      <c r="Z87" s="72" t="n">
        <v>15</v>
      </c>
      <c r="AA87" s="72" t="n">
        <v>14</v>
      </c>
      <c r="AB87" s="72" t="n">
        <v>14</v>
      </c>
    </row>
    <row r="88" ht="27.75" customHeight="1">
      <c r="A88" s="71" t="n"/>
      <c r="B88" s="47" t="inlineStr">
        <is>
          <t>vaci pe om</t>
        </is>
      </c>
      <c r="C88" s="72">
        <f>C86/C87</f>
        <v/>
      </c>
      <c r="D88" s="72">
        <f>D86/D87</f>
        <v/>
      </c>
      <c r="E88" s="72">
        <f>E86/E87</f>
        <v/>
      </c>
      <c r="F88" s="72">
        <f>F86/F87</f>
        <v/>
      </c>
      <c r="G88" s="72">
        <f>G86/G87</f>
        <v/>
      </c>
      <c r="H88" s="72">
        <f>H86/H87</f>
        <v/>
      </c>
      <c r="I88" s="72">
        <f>I86/I87</f>
        <v/>
      </c>
      <c r="J88" s="72">
        <f>J86/J87</f>
        <v/>
      </c>
      <c r="K88" s="72">
        <f>K86/K87</f>
        <v/>
      </c>
      <c r="L88" s="73" t="n">
        <v>0</v>
      </c>
      <c r="M88" s="72">
        <f>M86/M87</f>
        <v/>
      </c>
      <c r="N88" s="72">
        <f>N86/N87</f>
        <v/>
      </c>
      <c r="O88" s="72">
        <f>O86/O87</f>
        <v/>
      </c>
      <c r="P88" s="72">
        <f>P86/P87</f>
        <v/>
      </c>
      <c r="Q88" s="73" t="n">
        <v>0</v>
      </c>
      <c r="R88" s="72">
        <f>R86/R87</f>
        <v/>
      </c>
      <c r="S88" s="72">
        <f>S86/S87</f>
        <v/>
      </c>
      <c r="T88" s="72">
        <f>T86/T87</f>
        <v/>
      </c>
      <c r="U88" s="72">
        <f>U86/U87</f>
        <v/>
      </c>
      <c r="V88" s="72">
        <f>V86/V87</f>
        <v/>
      </c>
      <c r="W88" s="72">
        <f>W86/W87</f>
        <v/>
      </c>
      <c r="X88" s="72">
        <f>X86/X87</f>
        <v/>
      </c>
      <c r="Y88" s="72">
        <f>Y86/Y87</f>
        <v/>
      </c>
      <c r="Z88" s="72">
        <f>Z86/Z87</f>
        <v/>
      </c>
      <c r="AA88" s="72">
        <f>AA86/AA87</f>
        <v/>
      </c>
      <c r="AB88" s="72">
        <f>AB86/AB87</f>
        <v/>
      </c>
      <c r="AC88" s="48">
        <f>SUM(C88:AB88)</f>
        <v/>
      </c>
      <c r="AE88" s="47" t="inlineStr">
        <is>
          <t>cost /vaca</t>
        </is>
      </c>
      <c r="AG88" s="47">
        <f>AI86/11.5</f>
        <v/>
      </c>
    </row>
    <row r="89" ht="27.75" customHeight="1">
      <c r="A89" s="71" t="n"/>
      <c r="B89" s="47" t="inlineStr">
        <is>
          <t>vaci 160 in 14</t>
        </is>
      </c>
      <c r="C89" s="72" t="n">
        <v>11.5</v>
      </c>
      <c r="D89" s="72" t="n">
        <v>11.5</v>
      </c>
      <c r="E89" s="72" t="n">
        <v>11.5</v>
      </c>
      <c r="F89" s="72" t="n">
        <v>11.5</v>
      </c>
      <c r="G89" s="72" t="n">
        <v>11.5</v>
      </c>
      <c r="H89" s="72" t="n">
        <v>11.5</v>
      </c>
      <c r="I89" s="72" t="n">
        <v>11.5</v>
      </c>
      <c r="J89" s="72" t="n">
        <v>11.5</v>
      </c>
      <c r="K89" s="72" t="n">
        <v>11.5</v>
      </c>
      <c r="L89" s="73" t="n">
        <v>0</v>
      </c>
      <c r="M89" s="72" t="n">
        <v>11.5</v>
      </c>
      <c r="N89" s="72" t="n">
        <v>11.5</v>
      </c>
      <c r="O89" s="72" t="n">
        <v>11.5</v>
      </c>
      <c r="P89" s="72" t="n">
        <v>11.5</v>
      </c>
      <c r="Q89" s="73" t="n">
        <v>0</v>
      </c>
      <c r="R89" s="72" t="n">
        <v>11.5</v>
      </c>
      <c r="S89" s="72" t="n">
        <v>11.5</v>
      </c>
      <c r="T89" s="72" t="n">
        <v>11.5</v>
      </c>
      <c r="U89" s="72" t="n">
        <v>11.5</v>
      </c>
      <c r="V89" s="72" t="n">
        <v>11.5</v>
      </c>
      <c r="W89" s="72" t="n">
        <v>11.5</v>
      </c>
      <c r="X89" s="72" t="n">
        <v>11.5</v>
      </c>
      <c r="Y89" s="72" t="n">
        <v>11.5</v>
      </c>
      <c r="Z89" s="72" t="n">
        <v>11.5</v>
      </c>
      <c r="AA89" s="72" t="n">
        <v>11.5</v>
      </c>
      <c r="AB89" s="72" t="n">
        <v>11.5</v>
      </c>
      <c r="AC89" s="48">
        <f>SUM(C89:AB89)</f>
        <v/>
      </c>
      <c r="AE89" s="47" t="inlineStr">
        <is>
          <t>bani  in plus</t>
        </is>
      </c>
      <c r="AG89" s="47">
        <f>AC90*AG88</f>
        <v/>
      </c>
    </row>
    <row r="90" ht="27.75" customHeight="1">
      <c r="A90" s="74" t="n"/>
      <c r="B90" s="75" t="inlineStr">
        <is>
          <t xml:space="preserve">difernta </t>
        </is>
      </c>
      <c r="C90" s="76">
        <f>C88-C89</f>
        <v/>
      </c>
      <c r="D90" s="76">
        <f>D88-D89</f>
        <v/>
      </c>
      <c r="E90" s="76">
        <f>E88-E89</f>
        <v/>
      </c>
      <c r="F90" s="76">
        <f>F88-F89</f>
        <v/>
      </c>
      <c r="G90" s="76">
        <f>G88-G89</f>
        <v/>
      </c>
      <c r="H90" s="76">
        <f>H88-H89</f>
        <v/>
      </c>
      <c r="I90" s="76">
        <f>I88-I89</f>
        <v/>
      </c>
      <c r="J90" s="76">
        <f>J88-J89</f>
        <v/>
      </c>
      <c r="K90" s="76">
        <f>K88-K89</f>
        <v/>
      </c>
      <c r="L90" s="77">
        <f>L88-L89</f>
        <v/>
      </c>
      <c r="M90" s="76">
        <f>M88-M89</f>
        <v/>
      </c>
      <c r="N90" s="76">
        <f>N88-N89</f>
        <v/>
      </c>
      <c r="O90" s="76">
        <f>O88-O89</f>
        <v/>
      </c>
      <c r="P90" s="76">
        <f>P88-P89</f>
        <v/>
      </c>
      <c r="Q90" s="77">
        <f>Q88-Q89</f>
        <v/>
      </c>
      <c r="R90" s="76">
        <f>R88-R89</f>
        <v/>
      </c>
      <c r="S90" s="76">
        <f>S88-S89</f>
        <v/>
      </c>
      <c r="T90" s="76">
        <f>T88-T89</f>
        <v/>
      </c>
      <c r="U90" s="76">
        <f>U88-U89</f>
        <v/>
      </c>
      <c r="V90" s="76">
        <f>V88-V89</f>
        <v/>
      </c>
      <c r="W90" s="76">
        <f>W88-W89</f>
        <v/>
      </c>
      <c r="X90" s="76">
        <f>X88-X89</f>
        <v/>
      </c>
      <c r="Y90" s="76">
        <f>Y88-Y89</f>
        <v/>
      </c>
      <c r="Z90" s="76">
        <f>Z88-Z89</f>
        <v/>
      </c>
      <c r="AA90" s="76">
        <f>AA88-AA89</f>
        <v/>
      </c>
      <c r="AB90" s="76">
        <f>AB88-AB89</f>
        <v/>
      </c>
      <c r="AC90" s="48">
        <f>SUM(C90:AB90)</f>
        <v/>
      </c>
    </row>
    <row r="91" ht="27.75" customHeight="1"/>
    <row r="92" ht="27.75" customHeight="1"/>
    <row r="93" ht="30.75" customHeight="1">
      <c r="B93" s="47" t="inlineStr">
        <is>
          <t>COASTE GAT VR</t>
        </is>
      </c>
      <c r="C93" s="49" t="n">
        <v>2.03</v>
      </c>
      <c r="D93" s="50" t="n">
        <v>3.03</v>
      </c>
      <c r="E93" s="51" t="n">
        <v>4.03</v>
      </c>
      <c r="F93" s="50" t="n">
        <v>5.03</v>
      </c>
      <c r="G93" s="50" t="n">
        <v>6.03</v>
      </c>
      <c r="H93" s="51" t="n">
        <v>7.03</v>
      </c>
      <c r="I93" s="50" t="n">
        <v>9.029999999999999</v>
      </c>
      <c r="J93" s="50" t="n">
        <v>10.03</v>
      </c>
      <c r="K93" s="51" t="n">
        <v>11.03</v>
      </c>
      <c r="L93" s="50" t="n">
        <v>12.03</v>
      </c>
      <c r="M93" s="50" t="n">
        <v>13.03</v>
      </c>
      <c r="N93" s="50" t="n">
        <v>14.03</v>
      </c>
      <c r="O93" s="51" t="n">
        <v>16.03</v>
      </c>
      <c r="P93" s="51" t="n">
        <v>17.03</v>
      </c>
      <c r="Q93" s="51" t="n">
        <v>18.03</v>
      </c>
      <c r="R93" s="50" t="n">
        <v>19.03</v>
      </c>
      <c r="S93" s="50" t="n">
        <v>20.03</v>
      </c>
      <c r="T93" s="50" t="n">
        <v>21.02</v>
      </c>
      <c r="U93" s="50" t="n">
        <v>23.03</v>
      </c>
      <c r="V93" s="51" t="n">
        <v>24.03</v>
      </c>
      <c r="W93" s="50" t="n">
        <v>25.03</v>
      </c>
      <c r="X93" s="52" t="n">
        <v>26.03</v>
      </c>
      <c r="Y93" s="54" t="n">
        <v>27.03</v>
      </c>
      <c r="Z93" s="54" t="n">
        <v>28.02</v>
      </c>
      <c r="AA93" s="54" t="n">
        <v>30.03</v>
      </c>
      <c r="AB93" s="54" t="n">
        <v>31.03</v>
      </c>
      <c r="AC93" s="55" t="inlineStr">
        <is>
          <t xml:space="preserve">VACI TRAN </t>
        </is>
      </c>
      <c r="AD93" s="56" t="inlineStr">
        <is>
          <t>ZILE</t>
        </is>
      </c>
      <c r="AE93" s="57" t="inlineStr">
        <is>
          <t>VACA ZI*160</t>
        </is>
      </c>
      <c r="AF93" s="58" t="inlineStr">
        <is>
          <t xml:space="preserve">DE PLATIT </t>
        </is>
      </c>
      <c r="AG93" s="58" t="inlineStr">
        <is>
          <t>ZILE LUCRATOARE</t>
        </is>
      </c>
      <c r="AH93" s="56" t="inlineStr">
        <is>
          <t>ZILE IN PLUS</t>
        </is>
      </c>
      <c r="AI93" s="56" t="inlineStr">
        <is>
          <t xml:space="preserve">SALAR PE ZI </t>
        </is>
      </c>
      <c r="AJ93" s="59" t="inlineStr">
        <is>
          <t xml:space="preserve">BANI IN PLUS </t>
        </is>
      </c>
      <c r="AK93" s="56" t="inlineStr">
        <is>
          <t xml:space="preserve">SALAR BAZA </t>
        </is>
      </c>
      <c r="AL93" s="56" t="inlineStr">
        <is>
          <t xml:space="preserve">TOTAL </t>
        </is>
      </c>
      <c r="AM93" s="60" t="inlineStr">
        <is>
          <t>Nume și prenume</t>
        </is>
      </c>
      <c r="AN93" s="56" t="n"/>
    </row>
    <row r="94" ht="39.75" customHeight="1">
      <c r="A94" s="61" t="n">
        <v>11</v>
      </c>
      <c r="B94" s="62" t="inlineStr">
        <is>
          <t>MATEIUC RADU</t>
        </is>
      </c>
      <c r="C94" s="63" t="n">
        <v>193</v>
      </c>
      <c r="D94" s="63">
        <f>131.5+23/6</f>
        <v/>
      </c>
      <c r="E94" s="65" t="n">
        <v>0</v>
      </c>
      <c r="F94" s="63" t="n">
        <v>191.75</v>
      </c>
      <c r="G94" s="63" t="n">
        <v>183.5</v>
      </c>
      <c r="H94" s="65" t="n">
        <v>0</v>
      </c>
      <c r="I94" s="63" t="n">
        <v>149</v>
      </c>
      <c r="J94" s="63" t="n">
        <v>47.5</v>
      </c>
      <c r="K94" s="65" t="n">
        <v>0</v>
      </c>
      <c r="L94" s="63" t="n">
        <v>146.5</v>
      </c>
      <c r="M94" s="63" t="n">
        <v>194.5</v>
      </c>
      <c r="N94" s="63" t="n">
        <v>188.5</v>
      </c>
      <c r="O94" s="65" t="n">
        <v>0</v>
      </c>
      <c r="P94" s="65" t="n">
        <v>0</v>
      </c>
      <c r="Q94" s="65" t="n">
        <v>0</v>
      </c>
      <c r="R94" s="63" t="n">
        <v>144</v>
      </c>
      <c r="S94" s="63">
        <f>141.5+8/6</f>
        <v/>
      </c>
      <c r="T94" s="63" t="n">
        <v>201</v>
      </c>
      <c r="U94" s="63" t="n">
        <v>191.75</v>
      </c>
      <c r="V94" s="65" t="n">
        <v>0</v>
      </c>
      <c r="W94" s="63" t="n">
        <v>166</v>
      </c>
      <c r="X94" s="63" t="n">
        <v>144.5</v>
      </c>
      <c r="Y94" s="63">
        <f>104.5+30/6</f>
        <v/>
      </c>
      <c r="Z94" s="63" t="n">
        <v>200.5</v>
      </c>
      <c r="AA94" s="63" t="n">
        <v>147</v>
      </c>
      <c r="AB94" s="63" t="n">
        <v>141</v>
      </c>
      <c r="AC94" s="66">
        <f>SUM(C94:AB94)</f>
        <v/>
      </c>
      <c r="AD94" s="67" t="n">
        <v>19</v>
      </c>
      <c r="AE94" s="67">
        <f>AD94*166</f>
        <v/>
      </c>
      <c r="AF94" s="67">
        <f>AC94-AE94</f>
        <v/>
      </c>
      <c r="AG94" s="67" t="n">
        <v>26</v>
      </c>
      <c r="AH94" s="67">
        <f>AF94/175</f>
        <v/>
      </c>
      <c r="AI94" s="67">
        <f>AK94/AG94</f>
        <v/>
      </c>
      <c r="AJ94" s="68">
        <f>AI94*AH94</f>
        <v/>
      </c>
      <c r="AK94" s="67" t="n">
        <v>7800</v>
      </c>
      <c r="AL94" s="69">
        <f>AK94+AJ94</f>
        <v/>
      </c>
      <c r="AM94" s="62" t="inlineStr">
        <is>
          <t>MATEIUC RADU</t>
        </is>
      </c>
      <c r="AN94" s="83" t="n"/>
    </row>
    <row r="95" ht="27.75" customHeight="1">
      <c r="A95" s="71" t="n"/>
      <c r="B95" s="47" t="inlineStr">
        <is>
          <t>transatori</t>
        </is>
      </c>
      <c r="C95" s="72" t="n">
        <v>15</v>
      </c>
      <c r="D95" s="72" t="n">
        <v>14</v>
      </c>
      <c r="E95" s="73" t="n">
        <v>0</v>
      </c>
      <c r="F95" s="72" t="n">
        <v>16</v>
      </c>
      <c r="G95" s="72" t="n">
        <v>15</v>
      </c>
      <c r="H95" s="73" t="n">
        <v>0</v>
      </c>
      <c r="I95" s="72" t="n">
        <v>14</v>
      </c>
      <c r="J95" s="72" t="n">
        <v>9</v>
      </c>
      <c r="K95" s="73" t="n">
        <v>0</v>
      </c>
      <c r="L95" s="72" t="n">
        <v>14</v>
      </c>
      <c r="M95" s="72" t="n">
        <v>15</v>
      </c>
      <c r="N95" s="72" t="n">
        <v>16</v>
      </c>
      <c r="O95" s="73" t="n">
        <v>0</v>
      </c>
      <c r="P95" s="73" t="n">
        <v>0</v>
      </c>
      <c r="Q95" s="73" t="n">
        <v>0</v>
      </c>
      <c r="R95" s="72" t="n">
        <v>13</v>
      </c>
      <c r="S95" s="72" t="n">
        <v>15</v>
      </c>
      <c r="T95" s="72" t="n">
        <v>14</v>
      </c>
      <c r="U95" s="72" t="n">
        <v>15</v>
      </c>
      <c r="V95" s="73" t="n">
        <v>0</v>
      </c>
      <c r="W95" s="72" t="n">
        <v>13</v>
      </c>
      <c r="X95" s="72" t="n">
        <v>14</v>
      </c>
      <c r="Y95" s="72" t="n">
        <v>14</v>
      </c>
      <c r="Z95" s="72" t="n">
        <v>15</v>
      </c>
      <c r="AA95" s="72" t="n">
        <v>14</v>
      </c>
      <c r="AB95" s="72" t="n">
        <v>14</v>
      </c>
    </row>
    <row r="96" ht="27.75" customHeight="1">
      <c r="A96" s="71" t="n"/>
      <c r="B96" s="47" t="inlineStr">
        <is>
          <t>vaci pe om</t>
        </is>
      </c>
      <c r="C96" s="72">
        <f>C94/C95</f>
        <v/>
      </c>
      <c r="D96" s="72">
        <f>D94/D95</f>
        <v/>
      </c>
      <c r="E96" s="73" t="n">
        <v>0</v>
      </c>
      <c r="F96" s="72">
        <f>F94/F95</f>
        <v/>
      </c>
      <c r="G96" s="72">
        <f>G94/G95</f>
        <v/>
      </c>
      <c r="H96" s="73" t="n">
        <v>0</v>
      </c>
      <c r="I96" s="72">
        <f>I94/I95</f>
        <v/>
      </c>
      <c r="J96" s="72">
        <f>J94/J95</f>
        <v/>
      </c>
      <c r="K96" s="73" t="n">
        <v>0</v>
      </c>
      <c r="L96" s="72">
        <f>L94/L95</f>
        <v/>
      </c>
      <c r="M96" s="72">
        <f>M94/M95</f>
        <v/>
      </c>
      <c r="N96" s="72">
        <f>N94/N95</f>
        <v/>
      </c>
      <c r="O96" s="73" t="n">
        <v>0</v>
      </c>
      <c r="P96" s="73" t="n">
        <v>0</v>
      </c>
      <c r="Q96" s="73" t="n">
        <v>0</v>
      </c>
      <c r="R96" s="72">
        <f>R94/R95</f>
        <v/>
      </c>
      <c r="S96" s="72">
        <f>S94/S95</f>
        <v/>
      </c>
      <c r="T96" s="72">
        <f>T94/T95</f>
        <v/>
      </c>
      <c r="U96" s="72">
        <f>U94/U95</f>
        <v/>
      </c>
      <c r="V96" s="73" t="n">
        <v>0</v>
      </c>
      <c r="W96" s="72">
        <f>W94/W95</f>
        <v/>
      </c>
      <c r="X96" s="72">
        <f>X94/X95</f>
        <v/>
      </c>
      <c r="Y96" s="72">
        <f>Y94/Y95</f>
        <v/>
      </c>
      <c r="Z96" s="72">
        <f>Z94/Z95</f>
        <v/>
      </c>
      <c r="AA96" s="72">
        <f>AA94/AA95</f>
        <v/>
      </c>
      <c r="AB96" s="72">
        <f>AB94/AB95</f>
        <v/>
      </c>
      <c r="AC96" s="48">
        <f>SUM(C96:AB96)</f>
        <v/>
      </c>
      <c r="AE96" s="47" t="inlineStr">
        <is>
          <t>cost /vaca</t>
        </is>
      </c>
      <c r="AG96" s="47">
        <f>AI94/11.5</f>
        <v/>
      </c>
    </row>
    <row r="97" ht="27.75" customHeight="1">
      <c r="A97" s="71" t="n"/>
      <c r="B97" s="47" t="inlineStr">
        <is>
          <t>vaci 160 in 14</t>
        </is>
      </c>
      <c r="C97" s="72" t="n">
        <v>11.5</v>
      </c>
      <c r="D97" s="72" t="n">
        <v>11.5</v>
      </c>
      <c r="E97" s="73" t="n">
        <v>0</v>
      </c>
      <c r="F97" s="72" t="n">
        <v>11.5</v>
      </c>
      <c r="G97" s="72" t="n">
        <v>11.5</v>
      </c>
      <c r="H97" s="73" t="n">
        <v>0</v>
      </c>
      <c r="I97" s="72" t="n">
        <v>11.5</v>
      </c>
      <c r="J97" s="72" t="n">
        <v>11.5</v>
      </c>
      <c r="K97" s="73" t="n">
        <v>0</v>
      </c>
      <c r="L97" s="72" t="n">
        <v>11.5</v>
      </c>
      <c r="M97" s="72" t="n">
        <v>11.5</v>
      </c>
      <c r="N97" s="72" t="n">
        <v>11.5</v>
      </c>
      <c r="O97" s="73" t="n">
        <v>0</v>
      </c>
      <c r="P97" s="73" t="n">
        <v>0</v>
      </c>
      <c r="Q97" s="73" t="n">
        <v>0</v>
      </c>
      <c r="R97" s="72" t="n">
        <v>11.5</v>
      </c>
      <c r="S97" s="72" t="n">
        <v>11.5</v>
      </c>
      <c r="T97" s="72" t="n">
        <v>11.5</v>
      </c>
      <c r="U97" s="72" t="n">
        <v>11.5</v>
      </c>
      <c r="V97" s="73" t="n">
        <v>0</v>
      </c>
      <c r="W97" s="72" t="n">
        <v>11.5</v>
      </c>
      <c r="X97" s="72" t="n">
        <v>11.5</v>
      </c>
      <c r="Y97" s="72" t="n">
        <v>11.5</v>
      </c>
      <c r="Z97" s="72" t="n">
        <v>11.5</v>
      </c>
      <c r="AA97" s="72" t="n">
        <v>11.5</v>
      </c>
      <c r="AB97" s="72" t="n">
        <v>11.5</v>
      </c>
      <c r="AC97" s="48">
        <f>SUM(C97:AB97)</f>
        <v/>
      </c>
      <c r="AE97" s="47" t="inlineStr">
        <is>
          <t>bani  in plus</t>
        </is>
      </c>
      <c r="AG97" s="47">
        <f>AC98*AG96</f>
        <v/>
      </c>
    </row>
    <row r="98" ht="27.75" customHeight="1">
      <c r="A98" s="74" t="n"/>
      <c r="B98" s="75" t="inlineStr">
        <is>
          <t xml:space="preserve">difernta </t>
        </is>
      </c>
      <c r="C98" s="76">
        <f>C96-C97</f>
        <v/>
      </c>
      <c r="D98" s="76">
        <f>D96-D97</f>
        <v/>
      </c>
      <c r="E98" s="77">
        <f>E96-E97</f>
        <v/>
      </c>
      <c r="F98" s="76">
        <f>F96-F97</f>
        <v/>
      </c>
      <c r="G98" s="76">
        <f>G96-G97</f>
        <v/>
      </c>
      <c r="H98" s="77">
        <f>H96-H97</f>
        <v/>
      </c>
      <c r="I98" s="76">
        <f>I96-I97</f>
        <v/>
      </c>
      <c r="J98" s="76">
        <f>J96-J97</f>
        <v/>
      </c>
      <c r="K98" s="77">
        <f>K96-K97</f>
        <v/>
      </c>
      <c r="L98" s="76">
        <f>L96-L97</f>
        <v/>
      </c>
      <c r="M98" s="76">
        <f>M96-M97</f>
        <v/>
      </c>
      <c r="N98" s="76">
        <f>N96-N97</f>
        <v/>
      </c>
      <c r="O98" s="77">
        <f>O96-O97</f>
        <v/>
      </c>
      <c r="P98" s="77">
        <f>P96-P97</f>
        <v/>
      </c>
      <c r="Q98" s="77">
        <f>Q96-Q97</f>
        <v/>
      </c>
      <c r="R98" s="76">
        <f>R96-R97</f>
        <v/>
      </c>
      <c r="S98" s="76">
        <f>S96-S97</f>
        <v/>
      </c>
      <c r="T98" s="76">
        <f>T96-T97</f>
        <v/>
      </c>
      <c r="U98" s="76">
        <f>U96-U97</f>
        <v/>
      </c>
      <c r="V98" s="77">
        <f>V96-V97</f>
        <v/>
      </c>
      <c r="W98" s="76">
        <f>W96-W97</f>
        <v/>
      </c>
      <c r="X98" s="76">
        <f>X96-X97</f>
        <v/>
      </c>
      <c r="Y98" s="76">
        <f>Y96-Y97</f>
        <v/>
      </c>
      <c r="Z98" s="76">
        <f>Z96-Z97</f>
        <v/>
      </c>
      <c r="AA98" s="76">
        <f>AA96-AA97</f>
        <v/>
      </c>
      <c r="AB98" s="76">
        <f>AB96-AB97</f>
        <v/>
      </c>
      <c r="AC98" s="48">
        <f>SUM(C98:AB98)</f>
        <v/>
      </c>
    </row>
    <row r="99" ht="27.75" customHeight="1"/>
    <row r="100" ht="27.75" customHeight="1"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</row>
    <row r="101" ht="27.75" customHeight="1">
      <c r="B101" s="47" t="inlineStr">
        <is>
          <t>desfacut pulpa</t>
        </is>
      </c>
      <c r="C101" s="49" t="n">
        <v>2.03</v>
      </c>
      <c r="D101" s="50" t="n">
        <v>3.03</v>
      </c>
      <c r="E101" s="50" t="n">
        <v>4.03</v>
      </c>
      <c r="F101" s="50" t="n">
        <v>5.03</v>
      </c>
      <c r="G101" s="50" t="n">
        <v>6.03</v>
      </c>
      <c r="H101" s="51" t="n">
        <v>7.03</v>
      </c>
      <c r="I101" s="50" t="n">
        <v>9.029999999999999</v>
      </c>
      <c r="J101" s="51" t="n">
        <v>10.03</v>
      </c>
      <c r="K101" s="51" t="n">
        <v>11.03</v>
      </c>
      <c r="L101" s="50" t="n">
        <v>12.03</v>
      </c>
      <c r="M101" s="50" t="n">
        <v>13.03</v>
      </c>
      <c r="N101" s="50" t="n">
        <v>14.03</v>
      </c>
      <c r="O101" s="50" t="n">
        <v>16.03</v>
      </c>
      <c r="P101" s="50" t="n">
        <v>17.03</v>
      </c>
      <c r="Q101" s="51" t="n">
        <v>18.03</v>
      </c>
      <c r="R101" s="51" t="n">
        <v>19.03</v>
      </c>
      <c r="S101" s="50" t="n">
        <v>20.03</v>
      </c>
      <c r="T101" s="50" t="n">
        <v>21.02</v>
      </c>
      <c r="U101" s="50" t="n">
        <v>23.03</v>
      </c>
      <c r="V101" s="50" t="n">
        <v>24.03</v>
      </c>
      <c r="W101" s="50" t="n">
        <v>25.03</v>
      </c>
      <c r="X101" s="52" t="n">
        <v>26.03</v>
      </c>
      <c r="Y101" s="54" t="n">
        <v>27.03</v>
      </c>
      <c r="Z101" s="54" t="n">
        <v>28.02</v>
      </c>
      <c r="AA101" s="54" t="n">
        <v>30.03</v>
      </c>
      <c r="AB101" s="54" t="n">
        <v>31.03</v>
      </c>
      <c r="AC101" s="55" t="inlineStr">
        <is>
          <t xml:space="preserve">VACI TRAN </t>
        </is>
      </c>
      <c r="AD101" s="56" t="inlineStr">
        <is>
          <t>ZILE</t>
        </is>
      </c>
      <c r="AE101" s="57" t="inlineStr">
        <is>
          <t>VACA ZI*160</t>
        </is>
      </c>
      <c r="AF101" s="58" t="inlineStr">
        <is>
          <t xml:space="preserve">DE PLATIT </t>
        </is>
      </c>
      <c r="AG101" s="58" t="inlineStr">
        <is>
          <t>ZILE LUCRATOARE</t>
        </is>
      </c>
      <c r="AH101" s="56" t="inlineStr">
        <is>
          <t>ZILE IN PLUS</t>
        </is>
      </c>
      <c r="AI101" s="56" t="inlineStr">
        <is>
          <t xml:space="preserve">SALAR PE ZI </t>
        </is>
      </c>
      <c r="AJ101" s="59" t="inlineStr">
        <is>
          <t xml:space="preserve">BANI IN PLUS </t>
        </is>
      </c>
      <c r="AK101" s="56" t="inlineStr">
        <is>
          <t xml:space="preserve">SALAR BAZA </t>
        </is>
      </c>
      <c r="AL101" s="56" t="inlineStr">
        <is>
          <t xml:space="preserve">TOTAL </t>
        </is>
      </c>
      <c r="AM101" s="60" t="inlineStr">
        <is>
          <t>Nume și prenume</t>
        </is>
      </c>
      <c r="AN101" s="56" t="inlineStr">
        <is>
          <t xml:space="preserve">PREMIUM SUPLIMENTAR </t>
        </is>
      </c>
    </row>
    <row r="102" ht="46.5" customHeight="1">
      <c r="A102" s="61" t="n">
        <v>12</v>
      </c>
      <c r="B102" s="62" t="inlineStr">
        <is>
          <t>NECHIFOR NELU FLORIN</t>
        </is>
      </c>
      <c r="C102" s="63" t="n">
        <v>193</v>
      </c>
      <c r="D102" s="63">
        <f>131.5+23/6</f>
        <v/>
      </c>
      <c r="E102" s="64" t="n">
        <v>191</v>
      </c>
      <c r="F102" s="63" t="n">
        <v>191.75</v>
      </c>
      <c r="G102" s="63" t="n">
        <v>183.5</v>
      </c>
      <c r="H102" s="65" t="n">
        <v>0</v>
      </c>
      <c r="I102" s="63" t="n">
        <v>149</v>
      </c>
      <c r="J102" s="65" t="n">
        <v>0</v>
      </c>
      <c r="K102" s="65" t="n">
        <v>0</v>
      </c>
      <c r="L102" s="63" t="n">
        <v>146.5</v>
      </c>
      <c r="M102" s="63" t="n">
        <v>194.5</v>
      </c>
      <c r="N102" s="63" t="n">
        <v>188.5</v>
      </c>
      <c r="O102" s="63" t="n">
        <v>93</v>
      </c>
      <c r="P102" s="63" t="n">
        <v>73.5</v>
      </c>
      <c r="Q102" s="65" t="n">
        <v>0</v>
      </c>
      <c r="R102" s="65" t="n">
        <v>0</v>
      </c>
      <c r="S102" s="63">
        <f>141.5+8/6</f>
        <v/>
      </c>
      <c r="T102" s="63" t="n">
        <v>201</v>
      </c>
      <c r="U102" s="63" t="n">
        <v>191.75</v>
      </c>
      <c r="V102" s="63">
        <f>156.25+7/6</f>
        <v/>
      </c>
      <c r="W102" s="63" t="n">
        <v>166</v>
      </c>
      <c r="X102" s="63" t="n">
        <v>144.5</v>
      </c>
      <c r="Y102" s="63">
        <f>104.5+30/6</f>
        <v/>
      </c>
      <c r="Z102" s="63" t="n">
        <v>200.5</v>
      </c>
      <c r="AA102" s="63" t="n">
        <v>147</v>
      </c>
      <c r="AB102" s="63" t="n">
        <v>141</v>
      </c>
      <c r="AC102" s="66">
        <f>SUM(C102:AB102)</f>
        <v/>
      </c>
      <c r="AD102" s="67" t="n">
        <v>21</v>
      </c>
      <c r="AE102" s="67">
        <f>AD102*166</f>
        <v/>
      </c>
      <c r="AF102" s="67">
        <f>AC102-AE102</f>
        <v/>
      </c>
      <c r="AG102" s="67" t="n">
        <v>26</v>
      </c>
      <c r="AH102" s="67">
        <f>AF102/175</f>
        <v/>
      </c>
      <c r="AI102" s="67">
        <f>AK102/AG102</f>
        <v/>
      </c>
      <c r="AJ102" s="68">
        <f>AI102*AH102</f>
        <v/>
      </c>
      <c r="AK102" s="67" t="n">
        <v>7000</v>
      </c>
      <c r="AL102" s="69">
        <f>AK102+AJ102</f>
        <v/>
      </c>
      <c r="AM102" s="62" t="inlineStr">
        <is>
          <t>NECHIFOR NELU FLORIN</t>
        </is>
      </c>
      <c r="AN102" s="83" t="n"/>
    </row>
    <row r="103" ht="27.75" customHeight="1">
      <c r="A103" s="71" t="n"/>
      <c r="B103" s="47" t="inlineStr">
        <is>
          <t>transatori</t>
        </is>
      </c>
      <c r="C103" s="72" t="n">
        <v>15</v>
      </c>
      <c r="D103" s="72" t="n">
        <v>14</v>
      </c>
      <c r="E103" s="72" t="n">
        <v>15</v>
      </c>
      <c r="F103" s="72" t="n">
        <v>16</v>
      </c>
      <c r="G103" s="72" t="n">
        <v>15</v>
      </c>
      <c r="H103" s="73" t="n">
        <v>0</v>
      </c>
      <c r="I103" s="72" t="n">
        <v>14</v>
      </c>
      <c r="J103" s="73" t="n">
        <v>0</v>
      </c>
      <c r="K103" s="73" t="n">
        <v>0</v>
      </c>
      <c r="L103" s="72" t="n">
        <v>14</v>
      </c>
      <c r="M103" s="72" t="n">
        <v>15</v>
      </c>
      <c r="N103" s="72" t="n">
        <v>16</v>
      </c>
      <c r="O103" s="72" t="n">
        <v>14</v>
      </c>
      <c r="P103" s="72" t="n">
        <v>8</v>
      </c>
      <c r="Q103" s="73" t="n">
        <v>0</v>
      </c>
      <c r="R103" s="73" t="n">
        <v>0</v>
      </c>
      <c r="S103" s="72" t="n">
        <v>15</v>
      </c>
      <c r="T103" s="72" t="n">
        <v>14</v>
      </c>
      <c r="U103" s="72" t="n">
        <v>15</v>
      </c>
      <c r="V103" s="72" t="n">
        <v>14</v>
      </c>
      <c r="W103" s="72" t="n">
        <v>13</v>
      </c>
      <c r="X103" s="72" t="n">
        <v>14</v>
      </c>
      <c r="Y103" s="72" t="n">
        <v>14</v>
      </c>
      <c r="Z103" s="72" t="n">
        <v>15</v>
      </c>
      <c r="AA103" s="72" t="n">
        <v>14</v>
      </c>
      <c r="AB103" s="72" t="n">
        <v>14</v>
      </c>
    </row>
    <row r="104" ht="27.75" customHeight="1">
      <c r="A104" s="71" t="n"/>
      <c r="B104" s="47" t="inlineStr">
        <is>
          <t>vaci pe om</t>
        </is>
      </c>
      <c r="C104" s="72">
        <f>C102/C103</f>
        <v/>
      </c>
      <c r="D104" s="72">
        <f>D102/D103</f>
        <v/>
      </c>
      <c r="E104" s="72">
        <f>E102/E103</f>
        <v/>
      </c>
      <c r="F104" s="72">
        <f>F102/F103</f>
        <v/>
      </c>
      <c r="G104" s="72">
        <f>G102/G103</f>
        <v/>
      </c>
      <c r="H104" s="73" t="n">
        <v>0</v>
      </c>
      <c r="I104" s="72">
        <f>I102/I103</f>
        <v/>
      </c>
      <c r="J104" s="73" t="n">
        <v>0</v>
      </c>
      <c r="K104" s="73" t="n">
        <v>0</v>
      </c>
      <c r="L104" s="72">
        <f>L102/L103</f>
        <v/>
      </c>
      <c r="M104" s="72">
        <f>M102/M103</f>
        <v/>
      </c>
      <c r="N104" s="72">
        <f>N102/N103</f>
        <v/>
      </c>
      <c r="O104" s="72">
        <f>O102/O103</f>
        <v/>
      </c>
      <c r="P104" s="72">
        <f>P102/P103</f>
        <v/>
      </c>
      <c r="Q104" s="73" t="n">
        <v>0</v>
      </c>
      <c r="R104" s="73" t="n">
        <v>0</v>
      </c>
      <c r="S104" s="72">
        <f>S102/S103</f>
        <v/>
      </c>
      <c r="T104" s="72">
        <f>T102/T103</f>
        <v/>
      </c>
      <c r="U104" s="72">
        <f>U102/U103</f>
        <v/>
      </c>
      <c r="V104" s="72">
        <f>V102/V103</f>
        <v/>
      </c>
      <c r="W104" s="72">
        <f>W102/W103</f>
        <v/>
      </c>
      <c r="X104" s="72">
        <f>X102/X103</f>
        <v/>
      </c>
      <c r="Y104" s="72">
        <f>Y102/Y103</f>
        <v/>
      </c>
      <c r="Z104" s="72">
        <f>Z102/Z103</f>
        <v/>
      </c>
      <c r="AA104" s="72">
        <f>AA102/AA103</f>
        <v/>
      </c>
      <c r="AB104" s="72">
        <f>AB102/AB103</f>
        <v/>
      </c>
      <c r="AC104" s="48">
        <f>SUM(C104:AB104)</f>
        <v/>
      </c>
      <c r="AE104" s="47" t="inlineStr">
        <is>
          <t>cost /vaca</t>
        </is>
      </c>
      <c r="AG104" s="47">
        <f>AI102/11.5</f>
        <v/>
      </c>
    </row>
    <row r="105" ht="27.75" customHeight="1">
      <c r="A105" s="71" t="n"/>
      <c r="B105" s="47" t="inlineStr">
        <is>
          <t>vaci 160 in 14</t>
        </is>
      </c>
      <c r="C105" s="72" t="n">
        <v>11.5</v>
      </c>
      <c r="D105" s="72" t="n">
        <v>11.5</v>
      </c>
      <c r="E105" s="72" t="n">
        <v>11.5</v>
      </c>
      <c r="F105" s="72" t="n">
        <v>11.5</v>
      </c>
      <c r="G105" s="72" t="n">
        <v>11.5</v>
      </c>
      <c r="H105" s="73" t="n">
        <v>0</v>
      </c>
      <c r="I105" s="72" t="n">
        <v>11.5</v>
      </c>
      <c r="J105" s="73" t="n">
        <v>0</v>
      </c>
      <c r="K105" s="73" t="n">
        <v>0</v>
      </c>
      <c r="L105" s="72" t="n">
        <v>11.5</v>
      </c>
      <c r="M105" s="72" t="n">
        <v>11.5</v>
      </c>
      <c r="N105" s="72" t="n">
        <v>11.5</v>
      </c>
      <c r="O105" s="72" t="n">
        <v>11.5</v>
      </c>
      <c r="P105" s="72" t="n">
        <v>11.5</v>
      </c>
      <c r="Q105" s="73" t="n">
        <v>0</v>
      </c>
      <c r="R105" s="73" t="n">
        <v>0</v>
      </c>
      <c r="S105" s="72" t="n">
        <v>11.5</v>
      </c>
      <c r="T105" s="72" t="n">
        <v>11.5</v>
      </c>
      <c r="U105" s="72" t="n">
        <v>11.5</v>
      </c>
      <c r="V105" s="72" t="n">
        <v>11.5</v>
      </c>
      <c r="W105" s="72" t="n">
        <v>11.5</v>
      </c>
      <c r="X105" s="72" t="n">
        <v>11.5</v>
      </c>
      <c r="Y105" s="72" t="n">
        <v>11.5</v>
      </c>
      <c r="Z105" s="72" t="n">
        <v>11.5</v>
      </c>
      <c r="AA105" s="72" t="n">
        <v>11.5</v>
      </c>
      <c r="AB105" s="72" t="n">
        <v>11.5</v>
      </c>
      <c r="AC105" s="48">
        <f>SUM(C105:AB105)</f>
        <v/>
      </c>
      <c r="AE105" s="47" t="inlineStr">
        <is>
          <t>bani  in plus</t>
        </is>
      </c>
      <c r="AG105" s="47">
        <f>AC106*AG104</f>
        <v/>
      </c>
    </row>
    <row r="106" ht="27.75" customHeight="1">
      <c r="A106" s="74" t="n"/>
      <c r="B106" s="75" t="inlineStr">
        <is>
          <t xml:space="preserve">difernta </t>
        </is>
      </c>
      <c r="C106" s="76">
        <f>C104-C105</f>
        <v/>
      </c>
      <c r="D106" s="76">
        <f>D104-D105</f>
        <v/>
      </c>
      <c r="E106" s="76">
        <f>E104-E105</f>
        <v/>
      </c>
      <c r="F106" s="76">
        <f>F104-F105</f>
        <v/>
      </c>
      <c r="G106" s="76">
        <f>G104-G105</f>
        <v/>
      </c>
      <c r="H106" s="77">
        <f>H104-H105</f>
        <v/>
      </c>
      <c r="I106" s="76">
        <f>I104-I105</f>
        <v/>
      </c>
      <c r="J106" s="77">
        <f>J104-J105</f>
        <v/>
      </c>
      <c r="K106" s="77">
        <f>K104-K105</f>
        <v/>
      </c>
      <c r="L106" s="76">
        <f>L104-L105</f>
        <v/>
      </c>
      <c r="M106" s="76">
        <f>M104-M105</f>
        <v/>
      </c>
      <c r="N106" s="76">
        <f>N104-N105</f>
        <v/>
      </c>
      <c r="O106" s="76">
        <f>O104-O105</f>
        <v/>
      </c>
      <c r="P106" s="76">
        <f>P104-P105</f>
        <v/>
      </c>
      <c r="Q106" s="77">
        <f>Q104-Q105</f>
        <v/>
      </c>
      <c r="R106" s="77">
        <f>R104-R105</f>
        <v/>
      </c>
      <c r="S106" s="76">
        <f>S104-S105</f>
        <v/>
      </c>
      <c r="T106" s="76">
        <f>T104-T105</f>
        <v/>
      </c>
      <c r="U106" s="76">
        <f>U104-U105</f>
        <v/>
      </c>
      <c r="V106" s="76">
        <f>V104-V105</f>
        <v/>
      </c>
      <c r="W106" s="76">
        <f>W104-W105</f>
        <v/>
      </c>
      <c r="X106" s="76">
        <f>X104-X105</f>
        <v/>
      </c>
      <c r="Y106" s="76">
        <f>Y104-Y105</f>
        <v/>
      </c>
      <c r="Z106" s="76">
        <f>Z104-Z105</f>
        <v/>
      </c>
      <c r="AA106" s="76">
        <f>AA104-AA105</f>
        <v/>
      </c>
      <c r="AB106" s="76">
        <f>AB104-AB105</f>
        <v/>
      </c>
      <c r="AC106" s="48">
        <f>SUM(C106:AB106)</f>
        <v/>
      </c>
    </row>
    <row r="107" ht="27.75" customHeight="1"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</row>
    <row r="108" ht="27.75" customHeight="1"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</row>
    <row r="109" ht="27.75" customHeight="1">
      <c r="B109" s="47" t="inlineStr">
        <is>
          <t xml:space="preserve">VRABIOARA </t>
        </is>
      </c>
      <c r="C109" s="49" t="n">
        <v>2.03</v>
      </c>
      <c r="D109" s="50" t="n">
        <v>3.03</v>
      </c>
      <c r="E109" s="50" t="n">
        <v>4.03</v>
      </c>
      <c r="F109" s="50" t="n">
        <v>5.03</v>
      </c>
      <c r="G109" s="50" t="n">
        <v>6.03</v>
      </c>
      <c r="H109" s="50" t="n">
        <v>7.03</v>
      </c>
      <c r="I109" s="50" t="n">
        <v>9.029999999999999</v>
      </c>
      <c r="J109" s="50" t="n">
        <v>10.03</v>
      </c>
      <c r="K109" s="50" t="n">
        <v>11.03</v>
      </c>
      <c r="L109" s="50" t="n">
        <v>12.03</v>
      </c>
      <c r="M109" s="50" t="n">
        <v>13.03</v>
      </c>
      <c r="N109" s="51" t="n">
        <v>14.03</v>
      </c>
      <c r="O109" s="50" t="n">
        <v>16.03</v>
      </c>
      <c r="P109" s="51" t="n">
        <v>17.03</v>
      </c>
      <c r="Q109" s="50" t="n">
        <v>18.03</v>
      </c>
      <c r="R109" s="50" t="n">
        <v>19.03</v>
      </c>
      <c r="S109" s="50" t="n">
        <v>20.03</v>
      </c>
      <c r="T109" s="50" t="n">
        <v>21.02</v>
      </c>
      <c r="U109" s="50" t="n">
        <v>23.03</v>
      </c>
      <c r="V109" s="50" t="n">
        <v>24.03</v>
      </c>
      <c r="W109" s="50" t="n">
        <v>25.03</v>
      </c>
      <c r="X109" s="52" t="n">
        <v>26.03</v>
      </c>
      <c r="Y109" s="54" t="n">
        <v>27.03</v>
      </c>
      <c r="Z109" s="54" t="n">
        <v>28.02</v>
      </c>
      <c r="AA109" s="54" t="n">
        <v>30.03</v>
      </c>
      <c r="AB109" s="54" t="n">
        <v>31.03</v>
      </c>
      <c r="AC109" s="55" t="inlineStr">
        <is>
          <t xml:space="preserve">VACI TRAN </t>
        </is>
      </c>
      <c r="AD109" s="56" t="inlineStr">
        <is>
          <t>ZILE</t>
        </is>
      </c>
      <c r="AE109" s="57" t="inlineStr">
        <is>
          <t>VACA ZI*160</t>
        </is>
      </c>
      <c r="AF109" s="58" t="inlineStr">
        <is>
          <t xml:space="preserve">DE PLATIT </t>
        </is>
      </c>
      <c r="AG109" s="58" t="inlineStr">
        <is>
          <t>ZILE LUCRATOARE</t>
        </is>
      </c>
      <c r="AH109" s="56" t="inlineStr">
        <is>
          <t>ZILE IN PLUS</t>
        </is>
      </c>
      <c r="AI109" s="56" t="inlineStr">
        <is>
          <t xml:space="preserve">SALAR PE ZI </t>
        </is>
      </c>
      <c r="AJ109" s="59" t="inlineStr">
        <is>
          <t xml:space="preserve">BANI IN PLUS </t>
        </is>
      </c>
      <c r="AK109" s="56" t="inlineStr">
        <is>
          <t xml:space="preserve">SALAR BAZA </t>
        </is>
      </c>
      <c r="AL109" s="56" t="inlineStr">
        <is>
          <t xml:space="preserve">TOTAL </t>
        </is>
      </c>
      <c r="AM109" s="60" t="inlineStr">
        <is>
          <t>Nume și prenume</t>
        </is>
      </c>
      <c r="AN109" s="56" t="inlineStr">
        <is>
          <t xml:space="preserve">PREMIUM SUPLIMENTAR </t>
        </is>
      </c>
    </row>
    <row r="110" ht="54.75" customHeight="1">
      <c r="A110" s="61" t="n">
        <v>13</v>
      </c>
      <c r="B110" s="62" t="inlineStr">
        <is>
          <t>SENDREA FLORIN</t>
        </is>
      </c>
      <c r="C110" s="63" t="n">
        <v>193</v>
      </c>
      <c r="D110" s="63">
        <f>131.5+23/6</f>
        <v/>
      </c>
      <c r="E110" s="64" t="n">
        <v>191</v>
      </c>
      <c r="F110" s="63" t="n">
        <v>191.75</v>
      </c>
      <c r="G110" s="63" t="n">
        <v>183.5</v>
      </c>
      <c r="H110" s="63" t="n">
        <v>173</v>
      </c>
      <c r="I110" s="63" t="n">
        <v>149</v>
      </c>
      <c r="J110" s="63" t="n">
        <v>47.5</v>
      </c>
      <c r="K110" s="63" t="n">
        <v>97.5</v>
      </c>
      <c r="L110" s="63" t="n">
        <v>146.5</v>
      </c>
      <c r="M110" s="63" t="n">
        <v>194.5</v>
      </c>
      <c r="N110" s="65" t="n">
        <v>0</v>
      </c>
      <c r="O110" s="63" t="n">
        <v>93</v>
      </c>
      <c r="P110" s="65" t="n">
        <v>0</v>
      </c>
      <c r="Q110" s="63">
        <f>84+6/6</f>
        <v/>
      </c>
      <c r="R110" s="63" t="n">
        <v>144</v>
      </c>
      <c r="S110" s="63">
        <f>141.5+8/6</f>
        <v/>
      </c>
      <c r="T110" s="63" t="n">
        <v>201</v>
      </c>
      <c r="U110" s="63" t="n">
        <v>191.75</v>
      </c>
      <c r="V110" s="63">
        <f>156.25+7/6</f>
        <v/>
      </c>
      <c r="W110" s="63" t="n">
        <v>166</v>
      </c>
      <c r="X110" s="63" t="n">
        <v>144.5</v>
      </c>
      <c r="Y110" s="63">
        <f>104.5+30/6</f>
        <v/>
      </c>
      <c r="Z110" s="63" t="n">
        <v>200.5</v>
      </c>
      <c r="AA110" s="63" t="n">
        <v>147</v>
      </c>
      <c r="AB110" s="63" t="n">
        <v>141</v>
      </c>
      <c r="AC110" s="66">
        <f>SUM(C110:AB110)</f>
        <v/>
      </c>
      <c r="AD110" s="67" t="n">
        <v>22</v>
      </c>
      <c r="AE110" s="67">
        <f>AD110*166</f>
        <v/>
      </c>
      <c r="AF110" s="67">
        <f>AC110-AE110</f>
        <v/>
      </c>
      <c r="AG110" s="67" t="n">
        <v>26</v>
      </c>
      <c r="AH110" s="67">
        <f>AF110/175</f>
        <v/>
      </c>
      <c r="AI110" s="67">
        <f>AK110/AG110</f>
        <v/>
      </c>
      <c r="AJ110" s="68">
        <f>AI110*AH110</f>
        <v/>
      </c>
      <c r="AK110" s="67" t="n">
        <v>8000</v>
      </c>
      <c r="AL110" s="69">
        <f>AK110+AJ110</f>
        <v/>
      </c>
      <c r="AM110" s="62" t="inlineStr">
        <is>
          <t>SENDREA FLORIN</t>
        </is>
      </c>
      <c r="AN110" s="83" t="n"/>
    </row>
    <row r="111" ht="27.75" customHeight="1">
      <c r="A111" s="71" t="n"/>
      <c r="B111" s="47" t="inlineStr">
        <is>
          <t>transatori</t>
        </is>
      </c>
      <c r="C111" s="72" t="n">
        <v>15</v>
      </c>
      <c r="D111" s="72" t="n">
        <v>14</v>
      </c>
      <c r="E111" s="72" t="n">
        <v>15</v>
      </c>
      <c r="F111" s="72" t="n">
        <v>16</v>
      </c>
      <c r="G111" s="72" t="n">
        <v>15</v>
      </c>
      <c r="H111" s="72" t="n">
        <v>14</v>
      </c>
      <c r="I111" s="72" t="n">
        <v>14</v>
      </c>
      <c r="J111" s="72" t="n">
        <v>9</v>
      </c>
      <c r="K111" s="72" t="n">
        <v>14</v>
      </c>
      <c r="L111" s="72" t="n">
        <v>14</v>
      </c>
      <c r="M111" s="72" t="n">
        <v>15</v>
      </c>
      <c r="N111" s="73" t="n">
        <v>0</v>
      </c>
      <c r="O111" s="72" t="n">
        <v>14</v>
      </c>
      <c r="P111" s="73" t="n">
        <v>0</v>
      </c>
      <c r="Q111" s="72" t="n">
        <v>10</v>
      </c>
      <c r="R111" s="72" t="n">
        <v>13</v>
      </c>
      <c r="S111" s="72" t="n">
        <v>15</v>
      </c>
      <c r="T111" s="72" t="n">
        <v>14</v>
      </c>
      <c r="U111" s="72" t="n">
        <v>15</v>
      </c>
      <c r="V111" s="72" t="n">
        <v>14</v>
      </c>
      <c r="W111" s="72" t="n">
        <v>13</v>
      </c>
      <c r="X111" s="72" t="n">
        <v>14</v>
      </c>
      <c r="Y111" s="72" t="n">
        <v>14</v>
      </c>
      <c r="Z111" s="72" t="n">
        <v>15</v>
      </c>
      <c r="AA111" s="72" t="n">
        <v>14</v>
      </c>
      <c r="AB111" s="72" t="n">
        <v>14</v>
      </c>
    </row>
    <row r="112" ht="27.75" customHeight="1">
      <c r="A112" s="71" t="n"/>
      <c r="B112" s="47" t="inlineStr">
        <is>
          <t>vaci pe om</t>
        </is>
      </c>
      <c r="C112" s="72">
        <f>C110/C111</f>
        <v/>
      </c>
      <c r="D112" s="72">
        <f>D110/D111</f>
        <v/>
      </c>
      <c r="E112" s="72">
        <f>E110/E111</f>
        <v/>
      </c>
      <c r="F112" s="72">
        <f>F110/F111</f>
        <v/>
      </c>
      <c r="G112" s="72">
        <f>G110/G111</f>
        <v/>
      </c>
      <c r="H112" s="72">
        <f>H110/H111</f>
        <v/>
      </c>
      <c r="I112" s="72">
        <f>I110/I111</f>
        <v/>
      </c>
      <c r="J112" s="72">
        <f>J110/J111</f>
        <v/>
      </c>
      <c r="K112" s="72">
        <f>K110/K111</f>
        <v/>
      </c>
      <c r="L112" s="72">
        <f>L110/L111</f>
        <v/>
      </c>
      <c r="M112" s="72">
        <f>M110/M111</f>
        <v/>
      </c>
      <c r="N112" s="73" t="n">
        <v>0</v>
      </c>
      <c r="O112" s="72">
        <f>O110/O111</f>
        <v/>
      </c>
      <c r="P112" s="73" t="n">
        <v>0</v>
      </c>
      <c r="Q112" s="72">
        <f>Q110/Q111</f>
        <v/>
      </c>
      <c r="R112" s="72">
        <f>R110/R111</f>
        <v/>
      </c>
      <c r="S112" s="72">
        <f>S110/S111</f>
        <v/>
      </c>
      <c r="T112" s="72">
        <f>T110/T111</f>
        <v/>
      </c>
      <c r="U112" s="72">
        <f>U110/U111</f>
        <v/>
      </c>
      <c r="V112" s="72">
        <f>V110/V111</f>
        <v/>
      </c>
      <c r="W112" s="72">
        <f>W110/W111</f>
        <v/>
      </c>
      <c r="X112" s="72">
        <f>X110/X111</f>
        <v/>
      </c>
      <c r="Y112" s="72">
        <f>Y110/Y111</f>
        <v/>
      </c>
      <c r="Z112" s="72">
        <f>Z110/Z111</f>
        <v/>
      </c>
      <c r="AA112" s="72">
        <f>AA110/AA111</f>
        <v/>
      </c>
      <c r="AB112" s="72">
        <f>AB110/AB111</f>
        <v/>
      </c>
      <c r="AC112" s="48">
        <f>SUM(C112:AB112)</f>
        <v/>
      </c>
      <c r="AE112" s="47" t="inlineStr">
        <is>
          <t>cost /vaca</t>
        </is>
      </c>
      <c r="AG112" s="47">
        <f>AI110/11.5</f>
        <v/>
      </c>
    </row>
    <row r="113" ht="27.75" customHeight="1">
      <c r="A113" s="71" t="n"/>
      <c r="B113" s="47" t="inlineStr">
        <is>
          <t>vaci 160 in 14</t>
        </is>
      </c>
      <c r="C113" s="72" t="n">
        <v>11.5</v>
      </c>
      <c r="D113" s="72" t="n">
        <v>11.5</v>
      </c>
      <c r="E113" s="72" t="n">
        <v>11.5</v>
      </c>
      <c r="F113" s="72" t="n">
        <v>11.5</v>
      </c>
      <c r="G113" s="72" t="n">
        <v>11.5</v>
      </c>
      <c r="H113" s="72" t="n">
        <v>11.5</v>
      </c>
      <c r="I113" s="72" t="n">
        <v>11.5</v>
      </c>
      <c r="J113" s="72" t="n">
        <v>11.5</v>
      </c>
      <c r="K113" s="72" t="n">
        <v>11.5</v>
      </c>
      <c r="L113" s="72" t="n">
        <v>11.5</v>
      </c>
      <c r="M113" s="72" t="n">
        <v>11.5</v>
      </c>
      <c r="N113" s="73" t="n">
        <v>0</v>
      </c>
      <c r="O113" s="72" t="n">
        <v>11.5</v>
      </c>
      <c r="P113" s="73" t="n">
        <v>0</v>
      </c>
      <c r="Q113" s="72" t="n">
        <v>11.5</v>
      </c>
      <c r="R113" s="72" t="n">
        <v>11.5</v>
      </c>
      <c r="S113" s="72" t="n">
        <v>11.5</v>
      </c>
      <c r="T113" s="72" t="n">
        <v>11.5</v>
      </c>
      <c r="U113" s="72" t="n">
        <v>11.5</v>
      </c>
      <c r="V113" s="72" t="n">
        <v>11.5</v>
      </c>
      <c r="W113" s="72" t="n">
        <v>11.5</v>
      </c>
      <c r="X113" s="72" t="n">
        <v>11.5</v>
      </c>
      <c r="Y113" s="72" t="n">
        <v>11.5</v>
      </c>
      <c r="Z113" s="72" t="n">
        <v>11.5</v>
      </c>
      <c r="AA113" s="72" t="n">
        <v>11.5</v>
      </c>
      <c r="AB113" s="72" t="n">
        <v>11.5</v>
      </c>
      <c r="AC113" s="48">
        <f>SUM(C113:AB113)</f>
        <v/>
      </c>
      <c r="AE113" s="47" t="inlineStr">
        <is>
          <t>bani  in plus</t>
        </is>
      </c>
      <c r="AG113" s="47">
        <f>AC114*AG112</f>
        <v/>
      </c>
    </row>
    <row r="114" ht="27.75" customHeight="1">
      <c r="A114" s="74" t="n"/>
      <c r="B114" s="75" t="inlineStr">
        <is>
          <t xml:space="preserve">difernta </t>
        </is>
      </c>
      <c r="C114" s="76">
        <f>C112-C113</f>
        <v/>
      </c>
      <c r="D114" s="76">
        <f>D112-D113</f>
        <v/>
      </c>
      <c r="E114" s="76">
        <f>E112-E113</f>
        <v/>
      </c>
      <c r="F114" s="76">
        <f>F112-F113</f>
        <v/>
      </c>
      <c r="G114" s="76">
        <f>G112-G113</f>
        <v/>
      </c>
      <c r="H114" s="76">
        <f>H112-H113</f>
        <v/>
      </c>
      <c r="I114" s="76">
        <f>I112-I113</f>
        <v/>
      </c>
      <c r="J114" s="76">
        <f>J112-J113</f>
        <v/>
      </c>
      <c r="K114" s="76">
        <f>K112-K113</f>
        <v/>
      </c>
      <c r="L114" s="76">
        <f>L112-L113</f>
        <v/>
      </c>
      <c r="M114" s="76">
        <f>M112-M113</f>
        <v/>
      </c>
      <c r="N114" s="77">
        <f>N112-N113</f>
        <v/>
      </c>
      <c r="O114" s="76">
        <f>O112-O113</f>
        <v/>
      </c>
      <c r="P114" s="77">
        <f>P112-P113</f>
        <v/>
      </c>
      <c r="Q114" s="76">
        <f>Q112-Q113</f>
        <v/>
      </c>
      <c r="R114" s="76">
        <f>R112-R113</f>
        <v/>
      </c>
      <c r="S114" s="76">
        <f>S112-S113</f>
        <v/>
      </c>
      <c r="T114" s="76">
        <f>T112-T113</f>
        <v/>
      </c>
      <c r="U114" s="76">
        <f>U112-U113</f>
        <v/>
      </c>
      <c r="V114" s="76">
        <f>V112-V113</f>
        <v/>
      </c>
      <c r="W114" s="76">
        <f>W112-W113</f>
        <v/>
      </c>
      <c r="X114" s="76">
        <f>X112-X113</f>
        <v/>
      </c>
      <c r="Y114" s="76">
        <f>Y112-Y113</f>
        <v/>
      </c>
      <c r="Z114" s="76">
        <f>Z112-Z113</f>
        <v/>
      </c>
      <c r="AA114" s="76">
        <f>AA112-AA113</f>
        <v/>
      </c>
      <c r="AB114" s="76">
        <f>AB112-AB113</f>
        <v/>
      </c>
      <c r="AC114" s="48">
        <f>SUM(C114:AB114)</f>
        <v/>
      </c>
    </row>
    <row r="115" ht="27.75" customHeight="1"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</row>
    <row r="116" ht="27.75" customHeight="1"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</row>
    <row r="117" ht="27.75" customHeight="1">
      <c r="C117" s="49" t="n">
        <v>2.03</v>
      </c>
      <c r="D117" s="50" t="n">
        <v>3.03</v>
      </c>
      <c r="E117" s="50" t="n">
        <v>4.03</v>
      </c>
      <c r="F117" s="50" t="n">
        <v>5.03</v>
      </c>
      <c r="G117" s="50" t="n">
        <v>6.03</v>
      </c>
      <c r="H117" s="50" t="n">
        <v>7.03</v>
      </c>
      <c r="I117" s="50" t="n">
        <v>9.029999999999999</v>
      </c>
      <c r="J117" s="51" t="n">
        <v>10.03</v>
      </c>
      <c r="K117" s="50" t="n">
        <v>11.03</v>
      </c>
      <c r="L117" s="50" t="n">
        <v>12.03</v>
      </c>
      <c r="M117" s="50" t="n">
        <v>13.03</v>
      </c>
      <c r="N117" s="50" t="n">
        <v>14.03</v>
      </c>
      <c r="O117" s="50" t="n">
        <v>16.03</v>
      </c>
      <c r="P117" s="50" t="n">
        <v>17.03</v>
      </c>
      <c r="Q117" s="50" t="n">
        <v>18.03</v>
      </c>
      <c r="R117" s="51" t="n">
        <v>19.03</v>
      </c>
      <c r="S117" s="50" t="n">
        <v>20.03</v>
      </c>
      <c r="T117" s="50" t="n">
        <v>21.02</v>
      </c>
      <c r="U117" s="50" t="n">
        <v>23.03</v>
      </c>
      <c r="V117" s="50" t="n">
        <v>24.03</v>
      </c>
      <c r="W117" s="50" t="n">
        <v>25.03</v>
      </c>
      <c r="X117" s="52" t="n">
        <v>26.03</v>
      </c>
      <c r="Y117" s="54" t="n">
        <v>27.03</v>
      </c>
      <c r="Z117" s="54" t="n">
        <v>28.02</v>
      </c>
      <c r="AA117" s="54" t="n">
        <v>30.03</v>
      </c>
      <c r="AB117" s="54" t="n">
        <v>31.03</v>
      </c>
      <c r="AC117" s="55" t="inlineStr">
        <is>
          <t xml:space="preserve">VACI TRAN </t>
        </is>
      </c>
      <c r="AD117" s="56" t="inlineStr">
        <is>
          <t>ZILE</t>
        </is>
      </c>
      <c r="AE117" s="57" t="inlineStr">
        <is>
          <t>VACA ZI*160</t>
        </is>
      </c>
      <c r="AF117" s="58" t="inlineStr">
        <is>
          <t xml:space="preserve">DE PLATIT </t>
        </is>
      </c>
      <c r="AG117" s="58" t="inlineStr">
        <is>
          <t>ZILE LUCRATOARE</t>
        </is>
      </c>
      <c r="AH117" s="56" t="inlineStr">
        <is>
          <t>ZILE IN PLUS</t>
        </is>
      </c>
      <c r="AI117" s="56" t="inlineStr">
        <is>
          <t xml:space="preserve">SALAR PE ZI </t>
        </is>
      </c>
      <c r="AJ117" s="59" t="inlineStr">
        <is>
          <t xml:space="preserve">BANI IN PLUS </t>
        </is>
      </c>
      <c r="AK117" s="56" t="inlineStr">
        <is>
          <t xml:space="preserve">SALAR BAZA </t>
        </is>
      </c>
      <c r="AL117" s="56" t="inlineStr">
        <is>
          <t xml:space="preserve">TOTAL </t>
        </is>
      </c>
      <c r="AM117" s="60" t="inlineStr">
        <is>
          <t>Nume și prenume</t>
        </is>
      </c>
      <c r="AN117" s="56" t="inlineStr">
        <is>
          <t xml:space="preserve">PREMIUM SUPLIMENTAR </t>
        </is>
      </c>
    </row>
    <row r="118" ht="42.75" customHeight="1">
      <c r="A118" s="80" t="n">
        <v>14</v>
      </c>
      <c r="B118" s="82" t="inlineStr">
        <is>
          <t xml:space="preserve">SUSTER MIHAI </t>
        </is>
      </c>
      <c r="C118" s="63" t="n">
        <v>193</v>
      </c>
      <c r="D118" s="63">
        <f>131.5+23/6</f>
        <v/>
      </c>
      <c r="E118" s="64" t="n">
        <v>191</v>
      </c>
      <c r="F118" s="63" t="n">
        <v>191.75</v>
      </c>
      <c r="G118" s="63" t="n">
        <v>183.5</v>
      </c>
      <c r="H118" s="63" t="n">
        <v>173</v>
      </c>
      <c r="I118" s="63" t="n">
        <v>149</v>
      </c>
      <c r="J118" s="65" t="n">
        <v>0</v>
      </c>
      <c r="K118" s="63" t="n">
        <v>97.5</v>
      </c>
      <c r="L118" s="63" t="n">
        <v>146.5</v>
      </c>
      <c r="M118" s="63" t="n">
        <v>194.5</v>
      </c>
      <c r="N118" s="63" t="n">
        <v>188.5</v>
      </c>
      <c r="O118" s="63" t="n">
        <v>93</v>
      </c>
      <c r="P118" s="63" t="n">
        <v>73.5</v>
      </c>
      <c r="Q118" s="63">
        <f>84+6/6</f>
        <v/>
      </c>
      <c r="R118" s="65" t="n">
        <v>0</v>
      </c>
      <c r="S118" s="63">
        <f>141.5+8/6</f>
        <v/>
      </c>
      <c r="T118" s="63" t="n">
        <v>201</v>
      </c>
      <c r="U118" s="63" t="n">
        <v>191.75</v>
      </c>
      <c r="V118" s="63">
        <f>156.25+7/6</f>
        <v/>
      </c>
      <c r="W118" s="63" t="n">
        <v>166</v>
      </c>
      <c r="X118" s="63" t="n">
        <v>144.5</v>
      </c>
      <c r="Y118" s="63">
        <f>104.5+30/6</f>
        <v/>
      </c>
      <c r="Z118" s="63" t="n">
        <v>200.5</v>
      </c>
      <c r="AA118" s="63" t="n">
        <v>147</v>
      </c>
      <c r="AB118" s="63" t="n">
        <v>141</v>
      </c>
      <c r="AC118" s="66">
        <f>SUM(C118:AB118)</f>
        <v/>
      </c>
      <c r="AD118" s="67" t="n">
        <v>23</v>
      </c>
      <c r="AE118" s="67">
        <f>AD118*166</f>
        <v/>
      </c>
      <c r="AF118" s="67">
        <f>AC118-AE118</f>
        <v/>
      </c>
      <c r="AG118" s="67" t="n">
        <v>26</v>
      </c>
      <c r="AH118" s="67">
        <f>AF118/175</f>
        <v/>
      </c>
      <c r="AI118" s="67">
        <f>AK118/AG118</f>
        <v/>
      </c>
      <c r="AJ118" s="68">
        <f>AI118*AH118</f>
        <v/>
      </c>
      <c r="AK118" s="67" t="n">
        <v>7500</v>
      </c>
      <c r="AL118" s="69">
        <f>AK118+AJ118</f>
        <v/>
      </c>
      <c r="AM118" s="48" t="inlineStr">
        <is>
          <t xml:space="preserve">SUSTER MIHAI </t>
        </is>
      </c>
      <c r="AN118" s="83" t="n"/>
    </row>
    <row r="119" ht="27.75" customHeight="1">
      <c r="A119" s="71" t="n"/>
      <c r="B119" s="47" t="inlineStr">
        <is>
          <t>transatori</t>
        </is>
      </c>
      <c r="C119" s="72" t="n">
        <v>15</v>
      </c>
      <c r="D119" s="72" t="n">
        <v>14</v>
      </c>
      <c r="E119" s="72" t="n">
        <v>15</v>
      </c>
      <c r="F119" s="72" t="n">
        <v>16</v>
      </c>
      <c r="G119" s="72" t="n">
        <v>15</v>
      </c>
      <c r="H119" s="72" t="n">
        <v>14</v>
      </c>
      <c r="I119" s="72" t="n">
        <v>14</v>
      </c>
      <c r="J119" s="73" t="n">
        <v>0</v>
      </c>
      <c r="K119" s="72" t="n">
        <v>14</v>
      </c>
      <c r="L119" s="72" t="n">
        <v>14</v>
      </c>
      <c r="M119" s="72" t="n">
        <v>15</v>
      </c>
      <c r="N119" s="72" t="n">
        <v>16</v>
      </c>
      <c r="O119" s="72" t="n">
        <v>14</v>
      </c>
      <c r="P119" s="72" t="n">
        <v>8</v>
      </c>
      <c r="Q119" s="72" t="n">
        <v>10</v>
      </c>
      <c r="R119" s="73" t="n">
        <v>0</v>
      </c>
      <c r="S119" s="72" t="n">
        <v>15</v>
      </c>
      <c r="T119" s="72" t="n">
        <v>14</v>
      </c>
      <c r="U119" s="72" t="n">
        <v>15</v>
      </c>
      <c r="V119" s="72" t="n">
        <v>14</v>
      </c>
      <c r="W119" s="72" t="n">
        <v>13</v>
      </c>
      <c r="X119" s="72" t="n">
        <v>14</v>
      </c>
      <c r="Y119" s="72" t="n">
        <v>14</v>
      </c>
      <c r="Z119" s="72" t="n">
        <v>15</v>
      </c>
      <c r="AA119" s="72" t="n">
        <v>14</v>
      </c>
      <c r="AB119" s="72" t="n">
        <v>14</v>
      </c>
    </row>
    <row r="120" ht="27.75" customHeight="1">
      <c r="A120" s="71" t="n"/>
      <c r="B120" s="47" t="inlineStr">
        <is>
          <t>vaci pe om</t>
        </is>
      </c>
      <c r="C120" s="72">
        <f>C118/C119</f>
        <v/>
      </c>
      <c r="D120" s="72">
        <f>D118/D119</f>
        <v/>
      </c>
      <c r="E120" s="72">
        <f>E118/E119</f>
        <v/>
      </c>
      <c r="F120" s="72">
        <f>F118/F119</f>
        <v/>
      </c>
      <c r="G120" s="72">
        <f>G118/G119</f>
        <v/>
      </c>
      <c r="H120" s="72">
        <f>H118/H119</f>
        <v/>
      </c>
      <c r="I120" s="72">
        <f>I118/I119</f>
        <v/>
      </c>
      <c r="J120" s="73" t="n">
        <v>0</v>
      </c>
      <c r="K120" s="72">
        <f>K118/K119</f>
        <v/>
      </c>
      <c r="L120" s="72">
        <f>L118/L119</f>
        <v/>
      </c>
      <c r="M120" s="72">
        <f>M118/M119</f>
        <v/>
      </c>
      <c r="N120" s="72">
        <f>N118/N119</f>
        <v/>
      </c>
      <c r="O120" s="72">
        <f>O118/O119</f>
        <v/>
      </c>
      <c r="P120" s="72">
        <f>P118/P119</f>
        <v/>
      </c>
      <c r="Q120" s="72">
        <f>Q118/Q119</f>
        <v/>
      </c>
      <c r="R120" s="73" t="n">
        <v>0</v>
      </c>
      <c r="S120" s="72">
        <f>S118/S119</f>
        <v/>
      </c>
      <c r="T120" s="72">
        <f>T118/T119</f>
        <v/>
      </c>
      <c r="U120" s="72">
        <f>U118/U119</f>
        <v/>
      </c>
      <c r="V120" s="72">
        <f>V118/V119</f>
        <v/>
      </c>
      <c r="W120" s="72">
        <f>W118/W119</f>
        <v/>
      </c>
      <c r="X120" s="72">
        <f>X118/X119</f>
        <v/>
      </c>
      <c r="Y120" s="72">
        <f>Y118/Y119</f>
        <v/>
      </c>
      <c r="Z120" s="72">
        <f>Z118/Z119</f>
        <v/>
      </c>
      <c r="AA120" s="72">
        <f>AA118/AA119</f>
        <v/>
      </c>
      <c r="AB120" s="72">
        <f>AB118/AB119</f>
        <v/>
      </c>
      <c r="AC120" s="48">
        <f>SUM(C120:AB120)</f>
        <v/>
      </c>
      <c r="AE120" s="47" t="inlineStr">
        <is>
          <t>cost /vaca</t>
        </is>
      </c>
      <c r="AG120" s="47">
        <f>AI118/11.5</f>
        <v/>
      </c>
    </row>
    <row r="121" ht="27.75" customHeight="1">
      <c r="A121" s="71" t="n"/>
      <c r="B121" s="47" t="inlineStr">
        <is>
          <t>vaci 160 in 14</t>
        </is>
      </c>
      <c r="C121" s="72" t="n">
        <v>11.5</v>
      </c>
      <c r="D121" s="72" t="n">
        <v>11.5</v>
      </c>
      <c r="E121" s="72" t="n">
        <v>11.5</v>
      </c>
      <c r="F121" s="72" t="n">
        <v>11.5</v>
      </c>
      <c r="G121" s="72" t="n">
        <v>11.5</v>
      </c>
      <c r="H121" s="72" t="n">
        <v>11.5</v>
      </c>
      <c r="I121" s="72" t="n">
        <v>11.5</v>
      </c>
      <c r="J121" s="73" t="n">
        <v>0</v>
      </c>
      <c r="K121" s="72" t="n">
        <v>11.5</v>
      </c>
      <c r="L121" s="72" t="n">
        <v>11.5</v>
      </c>
      <c r="M121" s="72" t="n">
        <v>11.5</v>
      </c>
      <c r="N121" s="72" t="n">
        <v>11.5</v>
      </c>
      <c r="O121" s="72" t="n">
        <v>11.5</v>
      </c>
      <c r="P121" s="72" t="n">
        <v>11.5</v>
      </c>
      <c r="Q121" s="72" t="n">
        <v>11.5</v>
      </c>
      <c r="R121" s="73" t="n">
        <v>0</v>
      </c>
      <c r="S121" s="72" t="n">
        <v>11.5</v>
      </c>
      <c r="T121" s="72" t="n">
        <v>11.5</v>
      </c>
      <c r="U121" s="72" t="n">
        <v>11.5</v>
      </c>
      <c r="V121" s="72" t="n">
        <v>11.5</v>
      </c>
      <c r="W121" s="72" t="n">
        <v>11.5</v>
      </c>
      <c r="X121" s="72" t="n">
        <v>11.5</v>
      </c>
      <c r="Y121" s="72" t="n">
        <v>11.5</v>
      </c>
      <c r="Z121" s="72" t="n">
        <v>11.5</v>
      </c>
      <c r="AA121" s="72" t="n">
        <v>11.5</v>
      </c>
      <c r="AB121" s="72" t="n">
        <v>11.5</v>
      </c>
      <c r="AC121" s="48">
        <f>SUM(C121:AB121)</f>
        <v/>
      </c>
      <c r="AE121" s="47" t="inlineStr">
        <is>
          <t>bani  in plus</t>
        </is>
      </c>
      <c r="AG121" s="47">
        <f>AC122*AG120</f>
        <v/>
      </c>
    </row>
    <row r="122" ht="27.75" customHeight="1">
      <c r="A122" s="74" t="n"/>
      <c r="B122" s="75" t="inlineStr">
        <is>
          <t xml:space="preserve">difernta </t>
        </is>
      </c>
      <c r="C122" s="76">
        <f>C120-C121</f>
        <v/>
      </c>
      <c r="D122" s="76">
        <f>D120-D121</f>
        <v/>
      </c>
      <c r="E122" s="76">
        <f>E120-E121</f>
        <v/>
      </c>
      <c r="F122" s="76">
        <f>F120-F121</f>
        <v/>
      </c>
      <c r="G122" s="76">
        <f>G120-G121</f>
        <v/>
      </c>
      <c r="H122" s="76">
        <f>H120-H121</f>
        <v/>
      </c>
      <c r="I122" s="76">
        <f>I120-I121</f>
        <v/>
      </c>
      <c r="J122" s="77">
        <f>J120-J121</f>
        <v/>
      </c>
      <c r="K122" s="76">
        <f>K120-K121</f>
        <v/>
      </c>
      <c r="L122" s="76">
        <f>L120-L121</f>
        <v/>
      </c>
      <c r="M122" s="76">
        <f>M120-M121</f>
        <v/>
      </c>
      <c r="N122" s="76">
        <f>N120-N121</f>
        <v/>
      </c>
      <c r="O122" s="76">
        <f>O120-O121</f>
        <v/>
      </c>
      <c r="P122" s="76">
        <f>P120-P121</f>
        <v/>
      </c>
      <c r="Q122" s="76">
        <f>Q120-Q121</f>
        <v/>
      </c>
      <c r="R122" s="77">
        <f>R120-R121</f>
        <v/>
      </c>
      <c r="S122" s="76">
        <f>S120-S121</f>
        <v/>
      </c>
      <c r="T122" s="76">
        <f>T120-T121</f>
        <v/>
      </c>
      <c r="U122" s="76">
        <f>U120-U121</f>
        <v/>
      </c>
      <c r="V122" s="76">
        <f>V120-V121</f>
        <v/>
      </c>
      <c r="W122" s="76">
        <f>W120-W121</f>
        <v/>
      </c>
      <c r="X122" s="76">
        <f>X120-X121</f>
        <v/>
      </c>
      <c r="Y122" s="76">
        <f>Y120-Y121</f>
        <v/>
      </c>
      <c r="Z122" s="76">
        <f>Z120-Z121</f>
        <v/>
      </c>
      <c r="AA122" s="76">
        <f>AA120-AA121</f>
        <v/>
      </c>
      <c r="AB122" s="76">
        <f>AB120-AB121</f>
        <v/>
      </c>
      <c r="AC122" s="48">
        <f>SUM(C122:AB122)</f>
        <v/>
      </c>
    </row>
    <row r="123" ht="27.75" customHeight="1"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</row>
    <row r="124" ht="27.75" customHeight="1"/>
    <row r="125" ht="30.75" customHeight="1">
      <c r="B125" s="47" t="inlineStr">
        <is>
          <t xml:space="preserve"> DESFACE PULPA </t>
        </is>
      </c>
      <c r="C125" s="49" t="n">
        <v>2.03</v>
      </c>
      <c r="D125" s="51" t="n">
        <v>3.03</v>
      </c>
      <c r="E125" s="50" t="n">
        <v>4.03</v>
      </c>
      <c r="F125" s="50" t="n">
        <v>5.03</v>
      </c>
      <c r="G125" s="50" t="n">
        <v>6.03</v>
      </c>
      <c r="H125" s="50" t="n">
        <v>7.03</v>
      </c>
      <c r="I125" s="50" t="n">
        <v>9.029999999999999</v>
      </c>
      <c r="J125" s="50" t="n">
        <v>10.03</v>
      </c>
      <c r="K125" s="50" t="n">
        <v>11.03</v>
      </c>
      <c r="L125" s="51" t="n">
        <v>12.03</v>
      </c>
      <c r="M125" s="50" t="n">
        <v>13.03</v>
      </c>
      <c r="N125" s="50" t="n">
        <v>14.03</v>
      </c>
      <c r="O125" s="50" t="n">
        <v>16.03</v>
      </c>
      <c r="P125" s="51" t="n">
        <v>17.03</v>
      </c>
      <c r="Q125" s="50" t="n">
        <v>18.03</v>
      </c>
      <c r="R125" s="50" t="n">
        <v>19.03</v>
      </c>
      <c r="S125" s="50" t="n">
        <v>20.03</v>
      </c>
      <c r="T125" s="50" t="n">
        <v>21.02</v>
      </c>
      <c r="U125" s="50" t="n">
        <v>23.03</v>
      </c>
      <c r="V125" s="51" t="n">
        <v>24.03</v>
      </c>
      <c r="W125" s="50" t="n">
        <v>25.03</v>
      </c>
      <c r="X125" s="52" t="n">
        <v>26.03</v>
      </c>
      <c r="Y125" s="54" t="n">
        <v>27.03</v>
      </c>
      <c r="Z125" s="54" t="n">
        <v>28.02</v>
      </c>
      <c r="AA125" s="54" t="n">
        <v>30.03</v>
      </c>
      <c r="AB125" s="54" t="n">
        <v>31.03</v>
      </c>
      <c r="AC125" s="55" t="inlineStr">
        <is>
          <t xml:space="preserve">VACI TRAN </t>
        </is>
      </c>
      <c r="AD125" s="56" t="inlineStr">
        <is>
          <t>ZILE</t>
        </is>
      </c>
      <c r="AE125" s="57" t="inlineStr">
        <is>
          <t>VACA ZI*160</t>
        </is>
      </c>
      <c r="AF125" s="58" t="inlineStr">
        <is>
          <t xml:space="preserve">DE PLATIT </t>
        </is>
      </c>
      <c r="AG125" s="58" t="inlineStr">
        <is>
          <t>ZILE LUCRATOARE</t>
        </is>
      </c>
      <c r="AH125" s="56" t="inlineStr">
        <is>
          <t>ZILE IN PLUS</t>
        </is>
      </c>
      <c r="AI125" s="56" t="inlineStr">
        <is>
          <t xml:space="preserve">SALAR PE ZI </t>
        </is>
      </c>
      <c r="AJ125" s="59" t="inlineStr">
        <is>
          <t xml:space="preserve">BANI IN PLUS </t>
        </is>
      </c>
      <c r="AK125" s="56" t="inlineStr">
        <is>
          <t xml:space="preserve">SALAR BAZA </t>
        </is>
      </c>
      <c r="AL125" s="56" t="inlineStr">
        <is>
          <t xml:space="preserve">TOTAL </t>
        </is>
      </c>
      <c r="AM125" s="60" t="inlineStr">
        <is>
          <t>Nume și prenume</t>
        </is>
      </c>
      <c r="AN125" s="56" t="inlineStr">
        <is>
          <t xml:space="preserve">PREMIUM SUPLIMENTAR </t>
        </is>
      </c>
    </row>
    <row r="126" ht="39.75" customHeight="1">
      <c r="A126" s="61" t="n">
        <v>15</v>
      </c>
      <c r="B126" s="92" t="inlineStr">
        <is>
          <t xml:space="preserve">TANASE RAZVAN </t>
        </is>
      </c>
      <c r="C126" s="63" t="n">
        <v>193</v>
      </c>
      <c r="D126" s="65" t="n">
        <v>0</v>
      </c>
      <c r="E126" s="64" t="n">
        <v>191</v>
      </c>
      <c r="F126" s="63" t="n">
        <v>191.75</v>
      </c>
      <c r="G126" s="63" t="n">
        <v>183.5</v>
      </c>
      <c r="H126" s="63" t="n">
        <v>173</v>
      </c>
      <c r="I126" s="63" t="n">
        <v>149</v>
      </c>
      <c r="J126" s="63" t="n">
        <v>47.5</v>
      </c>
      <c r="K126" s="63" t="n">
        <v>97.5</v>
      </c>
      <c r="L126" s="65" t="n">
        <v>0</v>
      </c>
      <c r="M126" s="63" t="n">
        <v>194.5</v>
      </c>
      <c r="N126" s="63" t="n">
        <v>188.5</v>
      </c>
      <c r="O126" s="63" t="n">
        <v>93</v>
      </c>
      <c r="P126" s="65" t="n">
        <v>0</v>
      </c>
      <c r="Q126" s="63">
        <f>84+6/6</f>
        <v/>
      </c>
      <c r="R126" s="63" t="n">
        <v>144</v>
      </c>
      <c r="S126" s="63">
        <f>141.5+8/6</f>
        <v/>
      </c>
      <c r="T126" s="63" t="n">
        <v>201</v>
      </c>
      <c r="U126" s="63" t="n">
        <v>191.75</v>
      </c>
      <c r="V126" s="65" t="n">
        <v>0</v>
      </c>
      <c r="W126" s="63" t="n">
        <v>166</v>
      </c>
      <c r="X126" s="63" t="n">
        <v>144.5</v>
      </c>
      <c r="Y126" s="63">
        <f>104.5+30/6</f>
        <v/>
      </c>
      <c r="Z126" s="63" t="n">
        <v>200.5</v>
      </c>
      <c r="AA126" s="63" t="n">
        <v>147</v>
      </c>
      <c r="AB126" s="63" t="n">
        <v>141</v>
      </c>
      <c r="AC126" s="66">
        <f>SUM(C126:AB126)</f>
        <v/>
      </c>
      <c r="AD126" s="67" t="n">
        <v>22</v>
      </c>
      <c r="AE126" s="67">
        <f>AD126*166</f>
        <v/>
      </c>
      <c r="AF126" s="67">
        <f>AC126-AE126</f>
        <v/>
      </c>
      <c r="AG126" s="67" t="n">
        <v>26</v>
      </c>
      <c r="AH126" s="67">
        <f>AF126/175</f>
        <v/>
      </c>
      <c r="AI126" s="67">
        <f>AK126/AG126</f>
        <v/>
      </c>
      <c r="AJ126" s="68">
        <f>AI126*AH126</f>
        <v/>
      </c>
      <c r="AK126" s="67" t="n">
        <v>9500</v>
      </c>
      <c r="AL126" s="69">
        <f>AK126+AJ126</f>
        <v/>
      </c>
      <c r="AM126" s="92" t="inlineStr">
        <is>
          <t xml:space="preserve">TANASE RAZVAN </t>
        </is>
      </c>
      <c r="AN126" s="83" t="n"/>
    </row>
    <row r="127" ht="27.75" customHeight="1">
      <c r="A127" s="71" t="n"/>
      <c r="B127" s="47" t="inlineStr">
        <is>
          <t>transatori</t>
        </is>
      </c>
      <c r="C127" s="72" t="n">
        <v>15</v>
      </c>
      <c r="D127" s="73" t="n">
        <v>0</v>
      </c>
      <c r="E127" s="72" t="n">
        <v>15</v>
      </c>
      <c r="F127" s="72" t="n">
        <v>16</v>
      </c>
      <c r="G127" s="72" t="n">
        <v>15</v>
      </c>
      <c r="H127" s="72" t="n">
        <v>14</v>
      </c>
      <c r="I127" s="72" t="n">
        <v>14</v>
      </c>
      <c r="J127" s="72" t="n">
        <v>9</v>
      </c>
      <c r="K127" s="72" t="n">
        <v>14</v>
      </c>
      <c r="L127" s="73" t="n">
        <v>0</v>
      </c>
      <c r="M127" s="72" t="n">
        <v>15</v>
      </c>
      <c r="N127" s="72" t="n">
        <v>16</v>
      </c>
      <c r="O127" s="72" t="n">
        <v>14</v>
      </c>
      <c r="P127" s="73" t="n">
        <v>0</v>
      </c>
      <c r="Q127" s="72" t="n">
        <v>10</v>
      </c>
      <c r="R127" s="72" t="n">
        <v>13</v>
      </c>
      <c r="S127" s="72" t="n">
        <v>15</v>
      </c>
      <c r="T127" s="72" t="n">
        <v>14</v>
      </c>
      <c r="U127" s="72" t="n">
        <v>15</v>
      </c>
      <c r="V127" s="73" t="n">
        <v>0</v>
      </c>
      <c r="W127" s="72" t="n">
        <v>13</v>
      </c>
      <c r="X127" s="72" t="n">
        <v>14</v>
      </c>
      <c r="Y127" s="72" t="n">
        <v>14</v>
      </c>
      <c r="Z127" s="72" t="n">
        <v>15</v>
      </c>
      <c r="AA127" s="72" t="n">
        <v>14</v>
      </c>
      <c r="AB127" s="72" t="n">
        <v>14</v>
      </c>
    </row>
    <row r="128" ht="27.75" customHeight="1">
      <c r="A128" s="71" t="n"/>
      <c r="B128" s="47" t="inlineStr">
        <is>
          <t>vaci pe om</t>
        </is>
      </c>
      <c r="C128" s="72">
        <f>C126/C127</f>
        <v/>
      </c>
      <c r="D128" s="73" t="n">
        <v>0</v>
      </c>
      <c r="E128" s="72">
        <f>E126/E127</f>
        <v/>
      </c>
      <c r="F128" s="72">
        <f>F126/F127</f>
        <v/>
      </c>
      <c r="G128" s="72">
        <f>G126/G127</f>
        <v/>
      </c>
      <c r="H128" s="72">
        <f>H126/H127</f>
        <v/>
      </c>
      <c r="I128" s="72">
        <f>I126/I127</f>
        <v/>
      </c>
      <c r="J128" s="72">
        <f>J126/J127</f>
        <v/>
      </c>
      <c r="K128" s="72">
        <f>K126/K127</f>
        <v/>
      </c>
      <c r="L128" s="73" t="n">
        <v>0</v>
      </c>
      <c r="M128" s="72">
        <f>M126/M127</f>
        <v/>
      </c>
      <c r="N128" s="72">
        <f>N126/N127</f>
        <v/>
      </c>
      <c r="O128" s="72">
        <f>O126/O127</f>
        <v/>
      </c>
      <c r="P128" s="73" t="n">
        <v>0</v>
      </c>
      <c r="Q128" s="72">
        <f>Q126/Q127</f>
        <v/>
      </c>
      <c r="R128" s="72">
        <f>R126/R127</f>
        <v/>
      </c>
      <c r="S128" s="72">
        <f>S126/S127</f>
        <v/>
      </c>
      <c r="T128" s="72">
        <f>T126/T127</f>
        <v/>
      </c>
      <c r="U128" s="72">
        <f>U126/U127</f>
        <v/>
      </c>
      <c r="V128" s="73" t="n">
        <v>0</v>
      </c>
      <c r="W128" s="72">
        <f>W126/W127</f>
        <v/>
      </c>
      <c r="X128" s="72">
        <f>X126/X127</f>
        <v/>
      </c>
      <c r="Y128" s="72">
        <f>Y126/Y127</f>
        <v/>
      </c>
      <c r="Z128" s="72">
        <f>Z126/Z127</f>
        <v/>
      </c>
      <c r="AA128" s="72">
        <f>AA126/AA127</f>
        <v/>
      </c>
      <c r="AB128" s="72">
        <f>AB126/AB127</f>
        <v/>
      </c>
      <c r="AC128" s="48">
        <f>SUM(C128:AB128)</f>
        <v/>
      </c>
      <c r="AE128" s="47" t="inlineStr">
        <is>
          <t>cost /vaca</t>
        </is>
      </c>
      <c r="AG128" s="47">
        <f>AI126/11.5</f>
        <v/>
      </c>
    </row>
    <row r="129" ht="27.75" customHeight="1">
      <c r="A129" s="71" t="n"/>
      <c r="B129" s="47" t="inlineStr">
        <is>
          <t>vaci 160 in 14</t>
        </is>
      </c>
      <c r="C129" s="72" t="n">
        <v>11.5</v>
      </c>
      <c r="D129" s="73" t="n">
        <v>0</v>
      </c>
      <c r="E129" s="72" t="n">
        <v>11.5</v>
      </c>
      <c r="F129" s="72" t="n">
        <v>11.5</v>
      </c>
      <c r="G129" s="72" t="n">
        <v>11.5</v>
      </c>
      <c r="H129" s="72" t="n">
        <v>11.5</v>
      </c>
      <c r="I129" s="72" t="n">
        <v>11.5</v>
      </c>
      <c r="J129" s="72" t="n">
        <v>11.5</v>
      </c>
      <c r="K129" s="72" t="n">
        <v>11.5</v>
      </c>
      <c r="L129" s="73" t="n">
        <v>0</v>
      </c>
      <c r="M129" s="72" t="n">
        <v>11.5</v>
      </c>
      <c r="N129" s="72" t="n">
        <v>11.5</v>
      </c>
      <c r="O129" s="72" t="n">
        <v>11.5</v>
      </c>
      <c r="P129" s="73" t="n">
        <v>0</v>
      </c>
      <c r="Q129" s="72" t="n">
        <v>11.5</v>
      </c>
      <c r="R129" s="72" t="n">
        <v>11.5</v>
      </c>
      <c r="S129" s="72" t="n">
        <v>11.5</v>
      </c>
      <c r="T129" s="72" t="n">
        <v>11.5</v>
      </c>
      <c r="U129" s="72" t="n">
        <v>11.5</v>
      </c>
      <c r="V129" s="73" t="n">
        <v>0</v>
      </c>
      <c r="W129" s="72" t="n">
        <v>11.5</v>
      </c>
      <c r="X129" s="72" t="n">
        <v>11.5</v>
      </c>
      <c r="Y129" s="72" t="n">
        <v>11.5</v>
      </c>
      <c r="Z129" s="72" t="n">
        <v>11.5</v>
      </c>
      <c r="AA129" s="72" t="n">
        <v>11.5</v>
      </c>
      <c r="AB129" s="72" t="n">
        <v>11.5</v>
      </c>
      <c r="AC129" s="48">
        <f>SUM(C129:AB129)</f>
        <v/>
      </c>
      <c r="AE129" s="47" t="inlineStr">
        <is>
          <t>bani  in plus</t>
        </is>
      </c>
      <c r="AG129" s="47">
        <f>AC130*AG128</f>
        <v/>
      </c>
    </row>
    <row r="130" ht="27.75" customHeight="1">
      <c r="A130" s="74" t="n"/>
      <c r="B130" s="75" t="inlineStr">
        <is>
          <t xml:space="preserve">difernta </t>
        </is>
      </c>
      <c r="C130" s="76">
        <f>C128-C129</f>
        <v/>
      </c>
      <c r="D130" s="77">
        <f>D128-D129</f>
        <v/>
      </c>
      <c r="E130" s="76">
        <f>E128-E129</f>
        <v/>
      </c>
      <c r="F130" s="76">
        <f>F128-F129</f>
        <v/>
      </c>
      <c r="G130" s="76">
        <f>G128-G129</f>
        <v/>
      </c>
      <c r="H130" s="76">
        <f>H128-H129</f>
        <v/>
      </c>
      <c r="I130" s="76">
        <f>I128-I129</f>
        <v/>
      </c>
      <c r="J130" s="76">
        <f>J128-J129</f>
        <v/>
      </c>
      <c r="K130" s="76">
        <f>K128-K129</f>
        <v/>
      </c>
      <c r="L130" s="77">
        <f>L128-L129</f>
        <v/>
      </c>
      <c r="M130" s="76">
        <f>M128-M129</f>
        <v/>
      </c>
      <c r="N130" s="76">
        <f>N128-N129</f>
        <v/>
      </c>
      <c r="O130" s="76">
        <f>O128-O129</f>
        <v/>
      </c>
      <c r="P130" s="77">
        <f>P128-P129</f>
        <v/>
      </c>
      <c r="Q130" s="76">
        <f>Q128-Q129</f>
        <v/>
      </c>
      <c r="R130" s="76">
        <f>R128-R129</f>
        <v/>
      </c>
      <c r="S130" s="76">
        <f>S128-S129</f>
        <v/>
      </c>
      <c r="T130" s="76">
        <f>T128-T129</f>
        <v/>
      </c>
      <c r="U130" s="76">
        <f>U128-U129</f>
        <v/>
      </c>
      <c r="V130" s="77">
        <f>V128-V129</f>
        <v/>
      </c>
      <c r="W130" s="76">
        <f>W128-W129</f>
        <v/>
      </c>
      <c r="X130" s="76">
        <f>X128-X129</f>
        <v/>
      </c>
      <c r="Y130" s="76">
        <f>Y128-Y129</f>
        <v/>
      </c>
      <c r="Z130" s="76">
        <f>Z128-Z129</f>
        <v/>
      </c>
      <c r="AA130" s="76">
        <f>AA128-AA129</f>
        <v/>
      </c>
      <c r="AB130" s="76">
        <f>AB128-AB129</f>
        <v/>
      </c>
      <c r="AC130" s="48">
        <f>SUM(C130:AB130)</f>
        <v/>
      </c>
    </row>
    <row r="131" ht="27.75" customHeight="1"/>
    <row r="132" ht="27.75" customHeight="1"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</row>
    <row r="133" ht="27.75" customHeight="1"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</row>
    <row r="134" ht="27.75" customHeight="1">
      <c r="B134" s="47" t="inlineStr">
        <is>
          <t>VRABIOARA</t>
        </is>
      </c>
      <c r="C134" s="49" t="n">
        <v>2.03</v>
      </c>
      <c r="D134" s="51" t="n">
        <v>3.03</v>
      </c>
      <c r="E134" s="50" t="n">
        <v>4.03</v>
      </c>
      <c r="F134" s="50" t="n">
        <v>5.03</v>
      </c>
      <c r="G134" s="50" t="n">
        <v>6.03</v>
      </c>
      <c r="H134" s="50" t="n">
        <v>7.03</v>
      </c>
      <c r="I134" s="50" t="n">
        <v>9.029999999999999</v>
      </c>
      <c r="J134" s="51" t="n">
        <v>10.03</v>
      </c>
      <c r="K134" s="50" t="n">
        <v>11.03</v>
      </c>
      <c r="L134" s="50" t="n">
        <v>12.03</v>
      </c>
      <c r="M134" s="50" t="n">
        <v>13.03</v>
      </c>
      <c r="N134" s="50" t="n">
        <v>14.03</v>
      </c>
      <c r="O134" s="50" t="n">
        <v>16.03</v>
      </c>
      <c r="P134" s="51" t="n">
        <v>17.03</v>
      </c>
      <c r="Q134" s="51" t="n">
        <v>18.03</v>
      </c>
      <c r="R134" s="50" t="n">
        <v>19.03</v>
      </c>
      <c r="S134" s="50" t="n">
        <v>20.03</v>
      </c>
      <c r="T134" s="50" t="n">
        <v>21.02</v>
      </c>
      <c r="U134" s="50" t="n">
        <v>23.03</v>
      </c>
      <c r="V134" s="50" t="n">
        <v>24.03</v>
      </c>
      <c r="W134" s="50" t="n">
        <v>25.03</v>
      </c>
      <c r="X134" s="52" t="n">
        <v>26.03</v>
      </c>
      <c r="Y134" s="54" t="n">
        <v>27.03</v>
      </c>
      <c r="Z134" s="54" t="n">
        <v>28.02</v>
      </c>
      <c r="AA134" s="54" t="n">
        <v>30.03</v>
      </c>
      <c r="AB134" s="54" t="n">
        <v>31.03</v>
      </c>
      <c r="AC134" s="55" t="inlineStr">
        <is>
          <t xml:space="preserve">VACI TRAN </t>
        </is>
      </c>
      <c r="AD134" s="56" t="inlineStr">
        <is>
          <t>ZILE</t>
        </is>
      </c>
      <c r="AE134" s="57" t="inlineStr">
        <is>
          <t>VACA ZI*160</t>
        </is>
      </c>
      <c r="AF134" s="58" t="inlineStr">
        <is>
          <t xml:space="preserve">DE PLATIT </t>
        </is>
      </c>
      <c r="AG134" s="58" t="inlineStr">
        <is>
          <t>ZILE LUCRATOARE</t>
        </is>
      </c>
      <c r="AH134" s="56" t="inlineStr">
        <is>
          <t>ZILE IN PLUS</t>
        </is>
      </c>
      <c r="AI134" s="56" t="inlineStr">
        <is>
          <t xml:space="preserve">SALAR PE ZI </t>
        </is>
      </c>
      <c r="AJ134" s="59" t="inlineStr">
        <is>
          <t xml:space="preserve">BANI IN PLUS </t>
        </is>
      </c>
      <c r="AK134" s="56" t="inlineStr">
        <is>
          <t xml:space="preserve">SALAR BAZA </t>
        </is>
      </c>
      <c r="AL134" s="56" t="inlineStr">
        <is>
          <t xml:space="preserve">TOTAL </t>
        </is>
      </c>
      <c r="AM134" s="60" t="inlineStr">
        <is>
          <t>Nume și prenume</t>
        </is>
      </c>
      <c r="AN134" s="56" t="inlineStr">
        <is>
          <t xml:space="preserve">PREMIUM SUPLIMENTAR </t>
        </is>
      </c>
    </row>
    <row r="135" ht="48" customHeight="1">
      <c r="A135" s="61" t="n">
        <v>16</v>
      </c>
      <c r="B135" s="62" t="inlineStr">
        <is>
          <t>VIRLAN ALIN</t>
        </is>
      </c>
      <c r="C135" s="63" t="n">
        <v>193</v>
      </c>
      <c r="D135" s="65" t="n">
        <v>0</v>
      </c>
      <c r="E135" s="64" t="n">
        <v>191</v>
      </c>
      <c r="F135" s="63" t="n">
        <v>191.75</v>
      </c>
      <c r="G135" s="63" t="n">
        <v>183.5</v>
      </c>
      <c r="H135" s="63" t="n">
        <v>173</v>
      </c>
      <c r="I135" s="63" t="n">
        <v>149</v>
      </c>
      <c r="J135" s="65" t="n">
        <v>0</v>
      </c>
      <c r="K135" s="63" t="n">
        <v>97.5</v>
      </c>
      <c r="L135" s="63" t="n">
        <v>146.5</v>
      </c>
      <c r="M135" s="63" t="n">
        <v>194.5</v>
      </c>
      <c r="N135" s="63" t="n">
        <v>188.5</v>
      </c>
      <c r="O135" s="63" t="n">
        <v>93</v>
      </c>
      <c r="P135" s="65" t="n">
        <v>0</v>
      </c>
      <c r="Q135" s="65" t="n">
        <v>0</v>
      </c>
      <c r="R135" s="63" t="n">
        <v>144</v>
      </c>
      <c r="S135" s="63">
        <f>141.5+8/6</f>
        <v/>
      </c>
      <c r="T135" s="63" t="n">
        <v>201</v>
      </c>
      <c r="U135" s="63" t="n">
        <v>191.75</v>
      </c>
      <c r="V135" s="63">
        <f>156.25+7/6</f>
        <v/>
      </c>
      <c r="W135" s="63" t="n">
        <v>166</v>
      </c>
      <c r="X135" s="63" t="n">
        <v>144.5</v>
      </c>
      <c r="Y135" s="63">
        <f>104.5+30/6</f>
        <v/>
      </c>
      <c r="Z135" s="63" t="n">
        <v>200.5</v>
      </c>
      <c r="AA135" s="63" t="n">
        <v>147</v>
      </c>
      <c r="AB135" s="63" t="n">
        <v>141</v>
      </c>
      <c r="AC135" s="66">
        <f>SUM(C135:AB135)</f>
        <v/>
      </c>
      <c r="AD135" s="67" t="n">
        <v>22</v>
      </c>
      <c r="AE135" s="67">
        <f>AD135*166</f>
        <v/>
      </c>
      <c r="AF135" s="67">
        <f>AC135-AE135</f>
        <v/>
      </c>
      <c r="AG135" s="67" t="n">
        <v>26</v>
      </c>
      <c r="AH135" s="67">
        <f>AF135/175</f>
        <v/>
      </c>
      <c r="AI135" s="67">
        <f>AK135/AG135</f>
        <v/>
      </c>
      <c r="AJ135" s="68">
        <f>AI135*AH135</f>
        <v/>
      </c>
      <c r="AK135" s="67" t="n">
        <v>8500</v>
      </c>
      <c r="AL135" s="69">
        <f>AK135+AJ135</f>
        <v/>
      </c>
      <c r="AM135" s="62" t="inlineStr">
        <is>
          <t>VIRLAN ALIN</t>
        </is>
      </c>
      <c r="AN135" s="70" t="n"/>
    </row>
    <row r="136" ht="27.75" customHeight="1">
      <c r="A136" s="71" t="n"/>
      <c r="B136" s="47" t="inlineStr">
        <is>
          <t>transatori</t>
        </is>
      </c>
      <c r="C136" s="72" t="n">
        <v>15</v>
      </c>
      <c r="D136" s="73" t="n">
        <v>0</v>
      </c>
      <c r="E136" s="72" t="n">
        <v>15</v>
      </c>
      <c r="F136" s="72" t="n">
        <v>16</v>
      </c>
      <c r="G136" s="72" t="n">
        <v>15</v>
      </c>
      <c r="H136" s="72" t="n">
        <v>14</v>
      </c>
      <c r="I136" s="72" t="n">
        <v>14</v>
      </c>
      <c r="J136" s="73" t="n">
        <v>0</v>
      </c>
      <c r="K136" s="72" t="n">
        <v>14</v>
      </c>
      <c r="L136" s="72" t="n">
        <v>14</v>
      </c>
      <c r="M136" s="72" t="n">
        <v>15</v>
      </c>
      <c r="N136" s="72" t="n">
        <v>16</v>
      </c>
      <c r="O136" s="72" t="n">
        <v>14</v>
      </c>
      <c r="P136" s="73" t="n">
        <v>0</v>
      </c>
      <c r="Q136" s="73" t="n">
        <v>0</v>
      </c>
      <c r="R136" s="72" t="n">
        <v>13</v>
      </c>
      <c r="S136" s="72" t="n">
        <v>15</v>
      </c>
      <c r="T136" s="72" t="n">
        <v>14</v>
      </c>
      <c r="U136" s="72" t="n">
        <v>15</v>
      </c>
      <c r="V136" s="72" t="n">
        <v>14</v>
      </c>
      <c r="W136" s="72" t="n">
        <v>13</v>
      </c>
      <c r="X136" s="72" t="n">
        <v>14</v>
      </c>
      <c r="Y136" s="72" t="n">
        <v>14</v>
      </c>
      <c r="Z136" s="72" t="n">
        <v>15</v>
      </c>
      <c r="AA136" s="72" t="n">
        <v>14</v>
      </c>
      <c r="AB136" s="72" t="n">
        <v>14</v>
      </c>
    </row>
    <row r="137" ht="27.75" customHeight="1">
      <c r="A137" s="71" t="n"/>
      <c r="B137" s="47" t="inlineStr">
        <is>
          <t>vaci pe om</t>
        </is>
      </c>
      <c r="C137" s="72">
        <f>C135/C136</f>
        <v/>
      </c>
      <c r="D137" s="73" t="n">
        <v>0</v>
      </c>
      <c r="E137" s="72">
        <f>E135/E136</f>
        <v/>
      </c>
      <c r="F137" s="72">
        <f>F135/F136</f>
        <v/>
      </c>
      <c r="G137" s="72">
        <f>G135/G136</f>
        <v/>
      </c>
      <c r="H137" s="72">
        <f>H135/H136</f>
        <v/>
      </c>
      <c r="I137" s="72">
        <f>I135/I136</f>
        <v/>
      </c>
      <c r="J137" s="73" t="n">
        <v>0</v>
      </c>
      <c r="K137" s="72">
        <f>K135/K136</f>
        <v/>
      </c>
      <c r="L137" s="72">
        <f>L135/L136</f>
        <v/>
      </c>
      <c r="M137" s="72">
        <f>M135/M136</f>
        <v/>
      </c>
      <c r="N137" s="72">
        <f>N135/N136</f>
        <v/>
      </c>
      <c r="O137" s="72">
        <f>O135/O136</f>
        <v/>
      </c>
      <c r="P137" s="73" t="n">
        <v>0</v>
      </c>
      <c r="Q137" s="73" t="n">
        <v>0</v>
      </c>
      <c r="R137" s="72">
        <f>R135/R136</f>
        <v/>
      </c>
      <c r="S137" s="72">
        <f>S135/S136</f>
        <v/>
      </c>
      <c r="T137" s="72">
        <f>T135/T136</f>
        <v/>
      </c>
      <c r="U137" s="72">
        <f>U135/U136</f>
        <v/>
      </c>
      <c r="V137" s="72">
        <f>V135/V136</f>
        <v/>
      </c>
      <c r="W137" s="72">
        <f>W135/W136</f>
        <v/>
      </c>
      <c r="X137" s="72">
        <f>X135/X136</f>
        <v/>
      </c>
      <c r="Y137" s="72">
        <f>Y135/Y136</f>
        <v/>
      </c>
      <c r="Z137" s="72">
        <f>Z135/Z136</f>
        <v/>
      </c>
      <c r="AA137" s="72">
        <f>AA135/AA136</f>
        <v/>
      </c>
      <c r="AB137" s="72">
        <f>AB135/AB136</f>
        <v/>
      </c>
      <c r="AC137" s="48">
        <f>SUM(C137:AB137)</f>
        <v/>
      </c>
      <c r="AE137" s="47" t="inlineStr">
        <is>
          <t>cost /vaca</t>
        </is>
      </c>
      <c r="AG137" s="47">
        <f>AI135/11.5</f>
        <v/>
      </c>
    </row>
    <row r="138" ht="27.75" customHeight="1">
      <c r="A138" s="71" t="n"/>
      <c r="B138" s="47" t="inlineStr">
        <is>
          <t>vaci 160 in 14</t>
        </is>
      </c>
      <c r="C138" s="88" t="n">
        <v>11.5</v>
      </c>
      <c r="D138" s="73" t="n">
        <v>0</v>
      </c>
      <c r="E138" s="88" t="n">
        <v>11.5</v>
      </c>
      <c r="F138" s="88" t="n">
        <v>11.5</v>
      </c>
      <c r="G138" s="88" t="n">
        <v>11.5</v>
      </c>
      <c r="H138" s="88" t="n">
        <v>0</v>
      </c>
      <c r="I138" s="88" t="n">
        <v>11.5</v>
      </c>
      <c r="J138" s="73" t="n">
        <v>0</v>
      </c>
      <c r="K138" s="88" t="n">
        <v>11.5</v>
      </c>
      <c r="L138" s="88" t="n">
        <v>11.5</v>
      </c>
      <c r="M138" s="88" t="n">
        <v>11.5</v>
      </c>
      <c r="N138" s="88" t="n">
        <v>11.5</v>
      </c>
      <c r="O138" s="88" t="n">
        <v>0</v>
      </c>
      <c r="P138" s="73" t="n">
        <v>0</v>
      </c>
      <c r="Q138" s="73" t="n">
        <v>0</v>
      </c>
      <c r="R138" s="88" t="n">
        <v>11.5</v>
      </c>
      <c r="S138" s="88" t="n">
        <v>11.5</v>
      </c>
      <c r="T138" s="88" t="n">
        <v>11.5</v>
      </c>
      <c r="U138" s="88" t="n">
        <v>11.5</v>
      </c>
      <c r="V138" s="88" t="n">
        <v>0</v>
      </c>
      <c r="W138" s="88" t="n">
        <v>11.5</v>
      </c>
      <c r="X138" s="88" t="n">
        <v>11.5</v>
      </c>
      <c r="Y138" s="88" t="n">
        <v>11.5</v>
      </c>
      <c r="Z138" s="88" t="n">
        <v>11.5</v>
      </c>
      <c r="AA138" s="88" t="n">
        <v>11.5</v>
      </c>
      <c r="AB138" s="88" t="n">
        <v>11.5</v>
      </c>
      <c r="AC138" s="48">
        <f>SUM(C138:AB138)</f>
        <v/>
      </c>
      <c r="AE138" s="47" t="inlineStr">
        <is>
          <t>bani  in plus</t>
        </is>
      </c>
      <c r="AG138" s="47">
        <f>AC139*AG137</f>
        <v/>
      </c>
    </row>
    <row r="139" ht="27.75" customHeight="1">
      <c r="A139" s="74" t="n"/>
      <c r="B139" s="75" t="inlineStr">
        <is>
          <t xml:space="preserve">difernta </t>
        </is>
      </c>
      <c r="C139" s="76">
        <f>C137-C138</f>
        <v/>
      </c>
      <c r="D139" s="77">
        <f>D137-D138</f>
        <v/>
      </c>
      <c r="E139" s="76">
        <f>E137-E138</f>
        <v/>
      </c>
      <c r="F139" s="76">
        <f>F137-F138</f>
        <v/>
      </c>
      <c r="G139" s="76">
        <f>G137-G138</f>
        <v/>
      </c>
      <c r="H139" s="76">
        <f>H137-H138</f>
        <v/>
      </c>
      <c r="I139" s="76">
        <f>I137-I138</f>
        <v/>
      </c>
      <c r="J139" s="77">
        <f>J137-J138</f>
        <v/>
      </c>
      <c r="K139" s="76">
        <f>K137-K138</f>
        <v/>
      </c>
      <c r="L139" s="76">
        <f>L137-L138</f>
        <v/>
      </c>
      <c r="M139" s="76">
        <f>M137-M138</f>
        <v/>
      </c>
      <c r="N139" s="76">
        <f>N137-N138</f>
        <v/>
      </c>
      <c r="O139" s="76">
        <f>O137-O138</f>
        <v/>
      </c>
      <c r="P139" s="77">
        <f>P137-P138</f>
        <v/>
      </c>
      <c r="Q139" s="77">
        <f>Q137-Q138</f>
        <v/>
      </c>
      <c r="R139" s="76">
        <f>R137-R138</f>
        <v/>
      </c>
      <c r="S139" s="76">
        <f>S137-S138</f>
        <v/>
      </c>
      <c r="T139" s="76">
        <f>T137-T138</f>
        <v/>
      </c>
      <c r="U139" s="76">
        <f>U137-U138</f>
        <v/>
      </c>
      <c r="V139" s="76">
        <f>V137-V138</f>
        <v/>
      </c>
      <c r="W139" s="76">
        <f>W137-W138</f>
        <v/>
      </c>
      <c r="X139" s="76">
        <f>X137-X138</f>
        <v/>
      </c>
      <c r="Y139" s="76">
        <f>Y137-Y138</f>
        <v/>
      </c>
      <c r="Z139" s="76">
        <f>Z137-Z138</f>
        <v/>
      </c>
      <c r="AA139" s="76">
        <f>AA137-AA138</f>
        <v/>
      </c>
      <c r="AB139" s="76">
        <f>AB137-AB138</f>
        <v/>
      </c>
      <c r="AC139" s="48">
        <f>SUM(C139:AB139)</f>
        <v/>
      </c>
    </row>
    <row r="140" ht="27.75" customHeight="1"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AC140" s="48" t="n"/>
    </row>
    <row r="141" ht="27.75" customHeight="1"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Oana Roxana Cazacu</dc:creator>
  <dcterms:created xsi:type="dcterms:W3CDTF">2015-06-05T18:17:20Z</dcterms:created>
  <dcterms:modified xsi:type="dcterms:W3CDTF">2026-05-05T10:19:40Z</dcterms:modified>
  <cp:lastModifiedBy>Oana Roxana Cazacu</cp:lastModifiedBy>
  <cp:revision>5</cp:revision>
</cp:coreProperties>
</file>