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rius\Desktop\projects\TransareApp\fisiere de test\"/>
    </mc:Choice>
  </mc:AlternateContent>
  <xr:revisionPtr revIDLastSave="0" documentId="13_ncr:1_{983FDAB3-08AF-4FBF-9699-B6992344A5A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UGUST" sheetId="9" r:id="rId1"/>
    <sheet name="iulie 2026 bun" sheetId="1" r:id="rId2"/>
    <sheet name="aprilie" sheetId="2" r:id="rId3"/>
    <sheet name="martie" sheetId="3" r:id="rId4"/>
    <sheet name="februarie" sheetId="4" r:id="rId5"/>
    <sheet name="Sheet1" sheetId="5" r:id="rId6"/>
    <sheet name="ian final" sheetId="6" r:id="rId7"/>
    <sheet name="top steak bun" sheetId="7" r:id="rId8"/>
  </sheets>
  <definedNames>
    <definedName name="_xlnm.Print_Area" localSheetId="7">'top steak bun'!$A$1:$E$70</definedName>
    <definedName name="_xlnm.Print_Titles" localSheetId="7">'top steak bun'!$4:$4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97" i="1" l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AA95" i="1"/>
  <c r="Z95" i="1"/>
  <c r="X95" i="1"/>
  <c r="V95" i="1"/>
  <c r="T95" i="1"/>
  <c r="T97" i="1" s="1"/>
  <c r="S95" i="1"/>
  <c r="R95" i="1"/>
  <c r="Q95" i="1"/>
  <c r="P95" i="1"/>
  <c r="O95" i="1"/>
  <c r="M95" i="1"/>
  <c r="J95" i="1"/>
  <c r="I95" i="1"/>
  <c r="H95" i="1"/>
  <c r="E95" i="1"/>
  <c r="E97" i="1" s="1"/>
  <c r="D95" i="1"/>
  <c r="D97" i="1" s="1"/>
  <c r="C95" i="1"/>
  <c r="AI93" i="1"/>
  <c r="AG95" i="1" s="1"/>
  <c r="AE93" i="1"/>
  <c r="AB93" i="1"/>
  <c r="AB95" i="1" s="1"/>
  <c r="Y93" i="1"/>
  <c r="Y95" i="1" s="1"/>
  <c r="W93" i="1"/>
  <c r="W95" i="1" s="1"/>
  <c r="U93" i="1"/>
  <c r="U95" i="1" s="1"/>
  <c r="N93" i="1"/>
  <c r="N95" i="1" s="1"/>
  <c r="L93" i="1"/>
  <c r="L95" i="1" s="1"/>
  <c r="K93" i="1"/>
  <c r="K95" i="1" s="1"/>
  <c r="G95" i="1"/>
  <c r="F95" i="1"/>
  <c r="AH67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AA65" i="1"/>
  <c r="Z65" i="1"/>
  <c r="X65" i="1"/>
  <c r="V65" i="1"/>
  <c r="T65" i="1"/>
  <c r="S65" i="1"/>
  <c r="R65" i="1"/>
  <c r="Q65" i="1"/>
  <c r="P65" i="1"/>
  <c r="O65" i="1"/>
  <c r="M65" i="1"/>
  <c r="J65" i="1"/>
  <c r="I65" i="1"/>
  <c r="H65" i="1"/>
  <c r="E65" i="1"/>
  <c r="D65" i="1"/>
  <c r="C65" i="1"/>
  <c r="AG63" i="1"/>
  <c r="AI63" i="1" s="1"/>
  <c r="AG65" i="1" s="1"/>
  <c r="AD63" i="1"/>
  <c r="AE63" i="1" s="1"/>
  <c r="AB63" i="1"/>
  <c r="AB65" i="1" s="1"/>
  <c r="Y63" i="1"/>
  <c r="Y65" i="1" s="1"/>
  <c r="W63" i="1"/>
  <c r="W65" i="1" s="1"/>
  <c r="U63" i="1"/>
  <c r="U65" i="1" s="1"/>
  <c r="N63" i="1"/>
  <c r="N65" i="1" s="1"/>
  <c r="L63" i="1"/>
  <c r="L65" i="1" s="1"/>
  <c r="K63" i="1"/>
  <c r="K65" i="1" s="1"/>
  <c r="G63" i="1"/>
  <c r="G65" i="1" s="1"/>
  <c r="F63" i="1"/>
  <c r="F65" i="1" s="1"/>
  <c r="AH135" i="1"/>
  <c r="AB134" i="1"/>
  <c r="AA134" i="1"/>
  <c r="Z134" i="1"/>
  <c r="Y134" i="1"/>
  <c r="X134" i="1"/>
  <c r="W134" i="1"/>
  <c r="V134" i="1"/>
  <c r="U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AA133" i="1"/>
  <c r="Z133" i="1"/>
  <c r="X133" i="1"/>
  <c r="V133" i="1"/>
  <c r="T133" i="1"/>
  <c r="T135" i="1" s="1"/>
  <c r="S133" i="1"/>
  <c r="R133" i="1"/>
  <c r="Q133" i="1"/>
  <c r="P133" i="1"/>
  <c r="O133" i="1"/>
  <c r="M133" i="1"/>
  <c r="J133" i="1"/>
  <c r="I133" i="1"/>
  <c r="H133" i="1"/>
  <c r="E133" i="1"/>
  <c r="D133" i="1"/>
  <c r="D135" i="1" s="1"/>
  <c r="C133" i="1"/>
  <c r="AI131" i="1"/>
  <c r="AG133" i="1" s="1"/>
  <c r="AE131" i="1"/>
  <c r="AB131" i="1"/>
  <c r="AB133" i="1" s="1"/>
  <c r="Y131" i="1"/>
  <c r="Y133" i="1" s="1"/>
  <c r="W131" i="1"/>
  <c r="W133" i="1" s="1"/>
  <c r="U131" i="1"/>
  <c r="U133" i="1" s="1"/>
  <c r="N131" i="1"/>
  <c r="N133" i="1" s="1"/>
  <c r="L131" i="1"/>
  <c r="L133" i="1" s="1"/>
  <c r="K133" i="1"/>
  <c r="G131" i="1"/>
  <c r="F131" i="1"/>
  <c r="F133" i="1" s="1"/>
  <c r="K126" i="1"/>
  <c r="K123" i="1"/>
  <c r="K125" i="1" s="1"/>
  <c r="S8" i="1"/>
  <c r="AH177" i="1"/>
  <c r="AB176" i="1"/>
  <c r="AA176" i="1"/>
  <c r="Z176" i="1"/>
  <c r="Y176" i="1"/>
  <c r="X176" i="1"/>
  <c r="W176" i="1"/>
  <c r="V176" i="1"/>
  <c r="U176" i="1"/>
  <c r="T176" i="1"/>
  <c r="S176" i="1"/>
  <c r="AA175" i="1"/>
  <c r="Z175" i="1"/>
  <c r="X175" i="1"/>
  <c r="V175" i="1"/>
  <c r="T175" i="1"/>
  <c r="S175" i="1"/>
  <c r="R175" i="1"/>
  <c r="Q175" i="1"/>
  <c r="P175" i="1"/>
  <c r="O175" i="1"/>
  <c r="M175" i="1"/>
  <c r="J175" i="1"/>
  <c r="I175" i="1"/>
  <c r="H175" i="1"/>
  <c r="E175" i="1"/>
  <c r="D175" i="1"/>
  <c r="C175" i="1"/>
  <c r="AI173" i="1"/>
  <c r="AG175" i="1" s="1"/>
  <c r="AE173" i="1"/>
  <c r="AB173" i="1"/>
  <c r="AB175" i="1" s="1"/>
  <c r="Y173" i="1"/>
  <c r="Y175" i="1" s="1"/>
  <c r="W173" i="1"/>
  <c r="W175" i="1" s="1"/>
  <c r="U173" i="1"/>
  <c r="U175" i="1" s="1"/>
  <c r="N175" i="1"/>
  <c r="L175" i="1"/>
  <c r="K175" i="1"/>
  <c r="G175" i="1"/>
  <c r="F175" i="1"/>
  <c r="L7" i="1"/>
  <c r="U8" i="1"/>
  <c r="U5" i="1"/>
  <c r="U7" i="1" s="1"/>
  <c r="AH9" i="1"/>
  <c r="AB8" i="1"/>
  <c r="AA8" i="1"/>
  <c r="Z8" i="1"/>
  <c r="Y8" i="1"/>
  <c r="W8" i="1"/>
  <c r="V8" i="1"/>
  <c r="T8" i="1"/>
  <c r="P8" i="1"/>
  <c r="O8" i="1"/>
  <c r="N8" i="1"/>
  <c r="M8" i="1"/>
  <c r="K8" i="1"/>
  <c r="J8" i="1"/>
  <c r="I8" i="1"/>
  <c r="H8" i="1"/>
  <c r="G8" i="1"/>
  <c r="F8" i="1"/>
  <c r="E8" i="1"/>
  <c r="D8" i="1"/>
  <c r="C8" i="1"/>
  <c r="AA7" i="1"/>
  <c r="Z7" i="1"/>
  <c r="X7" i="1"/>
  <c r="V7" i="1"/>
  <c r="T7" i="1"/>
  <c r="S7" i="1"/>
  <c r="R7" i="1"/>
  <c r="Q7" i="1"/>
  <c r="P7" i="1"/>
  <c r="O7" i="1"/>
  <c r="M7" i="1"/>
  <c r="J7" i="1"/>
  <c r="I7" i="1"/>
  <c r="H7" i="1"/>
  <c r="E7" i="1"/>
  <c r="D7" i="1"/>
  <c r="C7" i="1"/>
  <c r="AG5" i="1"/>
  <c r="AE5" i="1"/>
  <c r="AB5" i="1"/>
  <c r="AB7" i="1" s="1"/>
  <c r="Y5" i="1"/>
  <c r="Y7" i="1" s="1"/>
  <c r="W5" i="1"/>
  <c r="W7" i="1" s="1"/>
  <c r="N5" i="1"/>
  <c r="N7" i="1" s="1"/>
  <c r="K5" i="1"/>
  <c r="K7" i="1" s="1"/>
  <c r="K9" i="1" s="1"/>
  <c r="G5" i="1"/>
  <c r="G7" i="1" s="1"/>
  <c r="F5" i="1"/>
  <c r="F7" i="1" s="1"/>
  <c r="L135" i="1" l="1"/>
  <c r="K135" i="1"/>
  <c r="AB97" i="1"/>
  <c r="Z97" i="1"/>
  <c r="L97" i="1"/>
  <c r="T67" i="1"/>
  <c r="K67" i="1"/>
  <c r="AA67" i="1"/>
  <c r="X67" i="1"/>
  <c r="Y97" i="1"/>
  <c r="M97" i="1"/>
  <c r="AA97" i="1"/>
  <c r="K97" i="1"/>
  <c r="U97" i="1"/>
  <c r="I97" i="1"/>
  <c r="J97" i="1"/>
  <c r="X97" i="1"/>
  <c r="G97" i="1"/>
  <c r="V97" i="1"/>
  <c r="S97" i="1"/>
  <c r="N97" i="1"/>
  <c r="AC95" i="1"/>
  <c r="O97" i="1"/>
  <c r="P97" i="1"/>
  <c r="W97" i="1"/>
  <c r="Q97" i="1"/>
  <c r="AC96" i="1"/>
  <c r="R97" i="1"/>
  <c r="F97" i="1"/>
  <c r="H97" i="1"/>
  <c r="U67" i="1"/>
  <c r="E67" i="1"/>
  <c r="AB67" i="1"/>
  <c r="AC93" i="1"/>
  <c r="AF93" i="1" s="1"/>
  <c r="AH93" i="1" s="1"/>
  <c r="AJ93" i="1" s="1"/>
  <c r="AL93" i="1" s="1"/>
  <c r="C97" i="1"/>
  <c r="M67" i="1"/>
  <c r="L67" i="1"/>
  <c r="D67" i="1"/>
  <c r="S67" i="1"/>
  <c r="I67" i="1"/>
  <c r="J67" i="1"/>
  <c r="Z67" i="1"/>
  <c r="G67" i="1"/>
  <c r="AC63" i="1"/>
  <c r="AF63" i="1" s="1"/>
  <c r="AH63" i="1" s="1"/>
  <c r="AJ63" i="1" s="1"/>
  <c r="AL63" i="1" s="1"/>
  <c r="N67" i="1"/>
  <c r="P67" i="1"/>
  <c r="V67" i="1"/>
  <c r="O67" i="1"/>
  <c r="W67" i="1"/>
  <c r="Q67" i="1"/>
  <c r="AC66" i="1"/>
  <c r="Y67" i="1"/>
  <c r="R67" i="1"/>
  <c r="F67" i="1"/>
  <c r="H67" i="1"/>
  <c r="AC65" i="1"/>
  <c r="C67" i="1"/>
  <c r="U135" i="1"/>
  <c r="J135" i="1"/>
  <c r="AB135" i="1"/>
  <c r="M135" i="1"/>
  <c r="E135" i="1"/>
  <c r="Z135" i="1"/>
  <c r="I135" i="1"/>
  <c r="X135" i="1"/>
  <c r="AA135" i="1"/>
  <c r="S135" i="1"/>
  <c r="O135" i="1"/>
  <c r="AC131" i="1"/>
  <c r="AF131" i="1" s="1"/>
  <c r="AH131" i="1" s="1"/>
  <c r="AJ131" i="1" s="1"/>
  <c r="AL131" i="1" s="1"/>
  <c r="V135" i="1"/>
  <c r="N135" i="1"/>
  <c r="P135" i="1"/>
  <c r="W135" i="1"/>
  <c r="Q135" i="1"/>
  <c r="AC134" i="1"/>
  <c r="Y135" i="1"/>
  <c r="G133" i="1"/>
  <c r="G135" i="1" s="1"/>
  <c r="R135" i="1"/>
  <c r="F135" i="1"/>
  <c r="H135" i="1"/>
  <c r="C135" i="1"/>
  <c r="K127" i="1"/>
  <c r="AI5" i="1"/>
  <c r="AG7" i="1" s="1"/>
  <c r="AB177" i="1"/>
  <c r="X177" i="1"/>
  <c r="M177" i="1"/>
  <c r="U177" i="1"/>
  <c r="E177" i="1"/>
  <c r="K177" i="1"/>
  <c r="L177" i="1"/>
  <c r="T177" i="1"/>
  <c r="Z177" i="1"/>
  <c r="I177" i="1"/>
  <c r="AA9" i="1"/>
  <c r="Z9" i="1"/>
  <c r="J177" i="1"/>
  <c r="D177" i="1"/>
  <c r="D9" i="1"/>
  <c r="G177" i="1"/>
  <c r="Q177" i="1"/>
  <c r="R177" i="1"/>
  <c r="W177" i="1"/>
  <c r="V177" i="1"/>
  <c r="O177" i="1"/>
  <c r="N177" i="1"/>
  <c r="P177" i="1"/>
  <c r="AA177" i="1"/>
  <c r="AC176" i="1"/>
  <c r="L9" i="1"/>
  <c r="Y177" i="1"/>
  <c r="F177" i="1"/>
  <c r="H177" i="1"/>
  <c r="S177" i="1"/>
  <c r="AC175" i="1"/>
  <c r="F9" i="1"/>
  <c r="AC173" i="1"/>
  <c r="AF173" i="1" s="1"/>
  <c r="AH173" i="1" s="1"/>
  <c r="AJ173" i="1" s="1"/>
  <c r="AL173" i="1" s="1"/>
  <c r="C177" i="1"/>
  <c r="N9" i="1"/>
  <c r="U9" i="1"/>
  <c r="E9" i="1"/>
  <c r="X9" i="1"/>
  <c r="AB9" i="1"/>
  <c r="V9" i="1"/>
  <c r="M9" i="1"/>
  <c r="S9" i="1"/>
  <c r="T9" i="1"/>
  <c r="O9" i="1"/>
  <c r="Q9" i="1"/>
  <c r="P9" i="1"/>
  <c r="R9" i="1"/>
  <c r="W9" i="1"/>
  <c r="H9" i="1"/>
  <c r="I9" i="1"/>
  <c r="AC8" i="1"/>
  <c r="J9" i="1"/>
  <c r="Y9" i="1"/>
  <c r="G9" i="1"/>
  <c r="AC7" i="1"/>
  <c r="AC5" i="1"/>
  <c r="AF5" i="1" s="1"/>
  <c r="AH5" i="1" s="1"/>
  <c r="C9" i="1"/>
  <c r="E68" i="7"/>
  <c r="E64" i="7"/>
  <c r="E60" i="7"/>
  <c r="E56" i="7"/>
  <c r="E52" i="7"/>
  <c r="E48" i="7"/>
  <c r="E44" i="7"/>
  <c r="E40" i="7"/>
  <c r="E36" i="7"/>
  <c r="E33" i="7"/>
  <c r="E29" i="7"/>
  <c r="E25" i="7"/>
  <c r="E21" i="7"/>
  <c r="E16" i="7"/>
  <c r="E12" i="7"/>
  <c r="E8" i="7"/>
  <c r="AA139" i="4"/>
  <c r="AA138" i="4"/>
  <c r="AA137" i="4"/>
  <c r="AG135" i="4"/>
  <c r="AC135" i="4"/>
  <c r="AA135" i="4"/>
  <c r="AA130" i="4"/>
  <c r="AA129" i="4"/>
  <c r="AA128" i="4"/>
  <c r="AG126" i="4"/>
  <c r="AE128" i="4" s="1"/>
  <c r="AC126" i="4"/>
  <c r="AA126" i="4"/>
  <c r="AA122" i="4"/>
  <c r="AA121" i="4"/>
  <c r="AA120" i="4"/>
  <c r="AG118" i="4"/>
  <c r="AC118" i="4"/>
  <c r="AA118" i="4"/>
  <c r="AA114" i="4"/>
  <c r="AA113" i="4"/>
  <c r="AA112" i="4"/>
  <c r="AG110" i="4"/>
  <c r="AE112" i="4" s="1"/>
  <c r="AC110" i="4"/>
  <c r="AA110" i="4"/>
  <c r="AA106" i="4"/>
  <c r="AA105" i="4"/>
  <c r="AA104" i="4"/>
  <c r="AG102" i="4"/>
  <c r="AE104" i="4" s="1"/>
  <c r="AC102" i="4"/>
  <c r="AA102" i="4"/>
  <c r="AA98" i="4"/>
  <c r="AA97" i="4"/>
  <c r="AA96" i="4"/>
  <c r="AG94" i="4"/>
  <c r="AE96" i="4" s="1"/>
  <c r="AC94" i="4"/>
  <c r="AA94" i="4"/>
  <c r="AA90" i="4"/>
  <c r="AA89" i="4"/>
  <c r="AA88" i="4"/>
  <c r="AG86" i="4"/>
  <c r="AE88" i="4" s="1"/>
  <c r="AC86" i="4"/>
  <c r="AA86" i="4"/>
  <c r="AA82" i="4"/>
  <c r="AA81" i="4"/>
  <c r="AA80" i="4"/>
  <c r="AG78" i="4"/>
  <c r="AE80" i="4" s="1"/>
  <c r="AC78" i="4"/>
  <c r="AA78" i="4"/>
  <c r="AA75" i="4"/>
  <c r="AA74" i="4"/>
  <c r="AA73" i="4"/>
  <c r="AG71" i="4"/>
  <c r="AE73" i="4" s="1"/>
  <c r="AC71" i="4"/>
  <c r="AA71" i="4"/>
  <c r="AA67" i="4"/>
  <c r="AA66" i="4"/>
  <c r="AA65" i="4"/>
  <c r="AG63" i="4"/>
  <c r="AE65" i="4" s="1"/>
  <c r="AC63" i="4"/>
  <c r="AA63" i="4"/>
  <c r="AA59" i="4"/>
  <c r="AA58" i="4"/>
  <c r="AA57" i="4"/>
  <c r="AG55" i="4"/>
  <c r="AE57" i="4" s="1"/>
  <c r="AC55" i="4"/>
  <c r="AA55" i="4"/>
  <c r="AA52" i="4"/>
  <c r="AA51" i="4"/>
  <c r="AA50" i="4"/>
  <c r="AG48" i="4"/>
  <c r="AE50" i="4" s="1"/>
  <c r="AC48" i="4"/>
  <c r="AA48" i="4"/>
  <c r="AA45" i="4"/>
  <c r="X44" i="4"/>
  <c r="X46" i="4" s="1"/>
  <c r="W44" i="4"/>
  <c r="W46" i="4" s="1"/>
  <c r="U44" i="4"/>
  <c r="U46" i="4" s="1"/>
  <c r="T44" i="4"/>
  <c r="T46" i="4" s="1"/>
  <c r="R44" i="4"/>
  <c r="R46" i="4" s="1"/>
  <c r="P44" i="4"/>
  <c r="P46" i="4" s="1"/>
  <c r="O44" i="4"/>
  <c r="O46" i="4" s="1"/>
  <c r="N44" i="4"/>
  <c r="N46" i="4" s="1"/>
  <c r="M44" i="4"/>
  <c r="M46" i="4" s="1"/>
  <c r="K44" i="4"/>
  <c r="K46" i="4" s="1"/>
  <c r="I44" i="4"/>
  <c r="I46" i="4" s="1"/>
  <c r="H44" i="4"/>
  <c r="H46" i="4" s="1"/>
  <c r="F44" i="4"/>
  <c r="F46" i="4" s="1"/>
  <c r="D44" i="4"/>
  <c r="D46" i="4" s="1"/>
  <c r="C44" i="4"/>
  <c r="C46" i="4" s="1"/>
  <c r="AG42" i="4"/>
  <c r="AE44" i="4" s="1"/>
  <c r="AC42" i="4"/>
  <c r="Z42" i="4"/>
  <c r="Z44" i="4" s="1"/>
  <c r="Z46" i="4" s="1"/>
  <c r="Y42" i="4"/>
  <c r="Y44" i="4" s="1"/>
  <c r="Y46" i="4" s="1"/>
  <c r="V42" i="4"/>
  <c r="V44" i="4" s="1"/>
  <c r="V46" i="4" s="1"/>
  <c r="S42" i="4"/>
  <c r="S44" i="4" s="1"/>
  <c r="S46" i="4" s="1"/>
  <c r="Q42" i="4"/>
  <c r="Q44" i="4" s="1"/>
  <c r="Q46" i="4" s="1"/>
  <c r="L42" i="4"/>
  <c r="L44" i="4" s="1"/>
  <c r="L46" i="4" s="1"/>
  <c r="J42" i="4"/>
  <c r="J44" i="4" s="1"/>
  <c r="J46" i="4" s="1"/>
  <c r="G42" i="4"/>
  <c r="G44" i="4" s="1"/>
  <c r="G46" i="4" s="1"/>
  <c r="E42" i="4"/>
  <c r="E44" i="4" s="1"/>
  <c r="E46" i="4" s="1"/>
  <c r="AA38" i="4"/>
  <c r="AH37" i="4"/>
  <c r="AG37" i="4"/>
  <c r="X37" i="4"/>
  <c r="X39" i="4" s="1"/>
  <c r="W37" i="4"/>
  <c r="W39" i="4" s="1"/>
  <c r="U37" i="4"/>
  <c r="U39" i="4" s="1"/>
  <c r="T37" i="4"/>
  <c r="T39" i="4" s="1"/>
  <c r="R37" i="4"/>
  <c r="R39" i="4" s="1"/>
  <c r="P37" i="4"/>
  <c r="P39" i="4" s="1"/>
  <c r="O37" i="4"/>
  <c r="O39" i="4" s="1"/>
  <c r="N37" i="4"/>
  <c r="N39" i="4" s="1"/>
  <c r="M37" i="4"/>
  <c r="M39" i="4" s="1"/>
  <c r="K37" i="4"/>
  <c r="K39" i="4" s="1"/>
  <c r="I37" i="4"/>
  <c r="I39" i="4" s="1"/>
  <c r="H37" i="4"/>
  <c r="H39" i="4" s="1"/>
  <c r="F37" i="4"/>
  <c r="F39" i="4" s="1"/>
  <c r="D37" i="4"/>
  <c r="D39" i="4" s="1"/>
  <c r="C37" i="4"/>
  <c r="C39" i="4" s="1"/>
  <c r="AG35" i="4"/>
  <c r="AC35" i="4"/>
  <c r="Z35" i="4"/>
  <c r="Z37" i="4" s="1"/>
  <c r="Z39" i="4" s="1"/>
  <c r="Y35" i="4"/>
  <c r="Y37" i="4" s="1"/>
  <c r="Y39" i="4" s="1"/>
  <c r="V35" i="4"/>
  <c r="V37" i="4" s="1"/>
  <c r="V39" i="4" s="1"/>
  <c r="S35" i="4"/>
  <c r="S37" i="4" s="1"/>
  <c r="S39" i="4" s="1"/>
  <c r="Q35" i="4"/>
  <c r="Q37" i="4" s="1"/>
  <c r="Q39" i="4" s="1"/>
  <c r="L35" i="4"/>
  <c r="L37" i="4" s="1"/>
  <c r="L39" i="4" s="1"/>
  <c r="J35" i="4"/>
  <c r="J37" i="4" s="1"/>
  <c r="J39" i="4" s="1"/>
  <c r="G35" i="4"/>
  <c r="G37" i="4" s="1"/>
  <c r="G39" i="4" s="1"/>
  <c r="E35" i="4"/>
  <c r="E37" i="4" s="1"/>
  <c r="E39" i="4" s="1"/>
  <c r="AA32" i="4"/>
  <c r="AA31" i="4"/>
  <c r="AA30" i="4"/>
  <c r="AG28" i="4"/>
  <c r="AE30" i="4" s="1"/>
  <c r="AC28" i="4"/>
  <c r="AA28" i="4"/>
  <c r="AH25" i="4"/>
  <c r="AA25" i="4"/>
  <c r="AA24" i="4"/>
  <c r="AA23" i="4"/>
  <c r="AG21" i="4"/>
  <c r="AE23" i="4" s="1"/>
  <c r="AC21" i="4"/>
  <c r="AA21" i="4"/>
  <c r="AA17" i="4"/>
  <c r="AA16" i="4"/>
  <c r="AA15" i="4"/>
  <c r="AG13" i="4"/>
  <c r="AC13" i="4"/>
  <c r="AA13" i="4"/>
  <c r="AF10" i="4"/>
  <c r="AA9" i="4"/>
  <c r="Z8" i="4"/>
  <c r="Z10" i="4" s="1"/>
  <c r="Y8" i="4"/>
  <c r="Y10" i="4" s="1"/>
  <c r="X8" i="4"/>
  <c r="X10" i="4" s="1"/>
  <c r="W8" i="4"/>
  <c r="W10" i="4" s="1"/>
  <c r="V8" i="4"/>
  <c r="V10" i="4" s="1"/>
  <c r="U8" i="4"/>
  <c r="U10" i="4" s="1"/>
  <c r="T8" i="4"/>
  <c r="T10" i="4" s="1"/>
  <c r="S8" i="4"/>
  <c r="S10" i="4" s="1"/>
  <c r="R8" i="4"/>
  <c r="R10" i="4" s="1"/>
  <c r="Q8" i="4"/>
  <c r="Q10" i="4" s="1"/>
  <c r="P8" i="4"/>
  <c r="P10" i="4" s="1"/>
  <c r="N8" i="4"/>
  <c r="N10" i="4" s="1"/>
  <c r="M8" i="4"/>
  <c r="M10" i="4" s="1"/>
  <c r="L8" i="4"/>
  <c r="L10" i="4" s="1"/>
  <c r="K8" i="4"/>
  <c r="K10" i="4" s="1"/>
  <c r="I8" i="4"/>
  <c r="I10" i="4" s="1"/>
  <c r="H8" i="4"/>
  <c r="H10" i="4" s="1"/>
  <c r="G8" i="4"/>
  <c r="G10" i="4" s="1"/>
  <c r="E8" i="4"/>
  <c r="E10" i="4" s="1"/>
  <c r="D8" i="4"/>
  <c r="D10" i="4" s="1"/>
  <c r="C8" i="4"/>
  <c r="AG6" i="4"/>
  <c r="AE8" i="4" s="1"/>
  <c r="AC6" i="4"/>
  <c r="O6" i="4"/>
  <c r="O8" i="4" s="1"/>
  <c r="O10" i="4" s="1"/>
  <c r="J6" i="4"/>
  <c r="J8" i="4" s="1"/>
  <c r="J10" i="4" s="1"/>
  <c r="F6" i="4"/>
  <c r="Q139" i="3"/>
  <c r="P139" i="3"/>
  <c r="J139" i="3"/>
  <c r="D139" i="3"/>
  <c r="AC138" i="3"/>
  <c r="AB137" i="3"/>
  <c r="AB139" i="3" s="1"/>
  <c r="AA137" i="3"/>
  <c r="AA139" i="3" s="1"/>
  <c r="Z137" i="3"/>
  <c r="Z139" i="3" s="1"/>
  <c r="X137" i="3"/>
  <c r="X139" i="3" s="1"/>
  <c r="W137" i="3"/>
  <c r="W139" i="3" s="1"/>
  <c r="U137" i="3"/>
  <c r="U139" i="3" s="1"/>
  <c r="T137" i="3"/>
  <c r="T139" i="3" s="1"/>
  <c r="R137" i="3"/>
  <c r="R139" i="3" s="1"/>
  <c r="O137" i="3"/>
  <c r="O139" i="3" s="1"/>
  <c r="N137" i="3"/>
  <c r="N139" i="3" s="1"/>
  <c r="M137" i="3"/>
  <c r="M139" i="3" s="1"/>
  <c r="L137" i="3"/>
  <c r="L139" i="3" s="1"/>
  <c r="K137" i="3"/>
  <c r="K139" i="3" s="1"/>
  <c r="I137" i="3"/>
  <c r="I139" i="3" s="1"/>
  <c r="H137" i="3"/>
  <c r="H139" i="3" s="1"/>
  <c r="G137" i="3"/>
  <c r="G139" i="3" s="1"/>
  <c r="F137" i="3"/>
  <c r="F139" i="3" s="1"/>
  <c r="E137" i="3"/>
  <c r="C137" i="3"/>
  <c r="C139" i="3" s="1"/>
  <c r="AI135" i="3"/>
  <c r="AG137" i="3" s="1"/>
  <c r="AE135" i="3"/>
  <c r="Y135" i="3"/>
  <c r="Y137" i="3" s="1"/>
  <c r="Y139" i="3" s="1"/>
  <c r="V135" i="3"/>
  <c r="S135" i="3"/>
  <c r="S137" i="3" s="1"/>
  <c r="S139" i="3" s="1"/>
  <c r="V130" i="3"/>
  <c r="P130" i="3"/>
  <c r="L130" i="3"/>
  <c r="D130" i="3"/>
  <c r="AC129" i="3"/>
  <c r="AB128" i="3"/>
  <c r="AB130" i="3" s="1"/>
  <c r="AA128" i="3"/>
  <c r="AA130" i="3" s="1"/>
  <c r="Z128" i="3"/>
  <c r="Z130" i="3" s="1"/>
  <c r="X128" i="3"/>
  <c r="X130" i="3" s="1"/>
  <c r="W128" i="3"/>
  <c r="W130" i="3" s="1"/>
  <c r="U128" i="3"/>
  <c r="U130" i="3" s="1"/>
  <c r="T128" i="3"/>
  <c r="T130" i="3" s="1"/>
  <c r="R128" i="3"/>
  <c r="R130" i="3" s="1"/>
  <c r="O128" i="3"/>
  <c r="O130" i="3" s="1"/>
  <c r="N128" i="3"/>
  <c r="N130" i="3" s="1"/>
  <c r="M128" i="3"/>
  <c r="M130" i="3" s="1"/>
  <c r="K128" i="3"/>
  <c r="K130" i="3" s="1"/>
  <c r="J128" i="3"/>
  <c r="J130" i="3" s="1"/>
  <c r="I128" i="3"/>
  <c r="I130" i="3" s="1"/>
  <c r="H128" i="3"/>
  <c r="H130" i="3" s="1"/>
  <c r="G128" i="3"/>
  <c r="G130" i="3" s="1"/>
  <c r="F128" i="3"/>
  <c r="F130" i="3" s="1"/>
  <c r="E128" i="3"/>
  <c r="E130" i="3" s="1"/>
  <c r="C128" i="3"/>
  <c r="C130" i="3" s="1"/>
  <c r="AI126" i="3"/>
  <c r="AG128" i="3" s="1"/>
  <c r="AE126" i="3"/>
  <c r="Y126" i="3"/>
  <c r="Y128" i="3" s="1"/>
  <c r="Y130" i="3" s="1"/>
  <c r="S126" i="3"/>
  <c r="S128" i="3" s="1"/>
  <c r="S130" i="3" s="1"/>
  <c r="Q126" i="3"/>
  <c r="R122" i="3"/>
  <c r="J122" i="3"/>
  <c r="AC121" i="3"/>
  <c r="AB120" i="3"/>
  <c r="AB122" i="3" s="1"/>
  <c r="AA120" i="3"/>
  <c r="AA122" i="3" s="1"/>
  <c r="Z120" i="3"/>
  <c r="Z122" i="3" s="1"/>
  <c r="X120" i="3"/>
  <c r="X122" i="3" s="1"/>
  <c r="W120" i="3"/>
  <c r="W122" i="3" s="1"/>
  <c r="U120" i="3"/>
  <c r="U122" i="3" s="1"/>
  <c r="T120" i="3"/>
  <c r="T122" i="3" s="1"/>
  <c r="P120" i="3"/>
  <c r="P122" i="3" s="1"/>
  <c r="O120" i="3"/>
  <c r="O122" i="3" s="1"/>
  <c r="N120" i="3"/>
  <c r="N122" i="3" s="1"/>
  <c r="M120" i="3"/>
  <c r="M122" i="3" s="1"/>
  <c r="L120" i="3"/>
  <c r="L122" i="3" s="1"/>
  <c r="K120" i="3"/>
  <c r="K122" i="3" s="1"/>
  <c r="I120" i="3"/>
  <c r="I122" i="3" s="1"/>
  <c r="H120" i="3"/>
  <c r="H122" i="3" s="1"/>
  <c r="G120" i="3"/>
  <c r="G122" i="3" s="1"/>
  <c r="F120" i="3"/>
  <c r="F122" i="3" s="1"/>
  <c r="E120" i="3"/>
  <c r="E122" i="3" s="1"/>
  <c r="C120" i="3"/>
  <c r="C122" i="3" s="1"/>
  <c r="AI118" i="3"/>
  <c r="AG120" i="3" s="1"/>
  <c r="AE118" i="3"/>
  <c r="Y118" i="3"/>
  <c r="Y120" i="3" s="1"/>
  <c r="Y122" i="3" s="1"/>
  <c r="V118" i="3"/>
  <c r="V120" i="3" s="1"/>
  <c r="V122" i="3" s="1"/>
  <c r="S118" i="3"/>
  <c r="S120" i="3" s="1"/>
  <c r="S122" i="3" s="1"/>
  <c r="Q118" i="3"/>
  <c r="Q120" i="3" s="1"/>
  <c r="Q122" i="3" s="1"/>
  <c r="D118" i="3"/>
  <c r="D120" i="3" s="1"/>
  <c r="D122" i="3" s="1"/>
  <c r="P114" i="3"/>
  <c r="N114" i="3"/>
  <c r="AC113" i="3"/>
  <c r="AB112" i="3"/>
  <c r="AB114" i="3" s="1"/>
  <c r="AA112" i="3"/>
  <c r="AA114" i="3" s="1"/>
  <c r="Z112" i="3"/>
  <c r="Z114" i="3" s="1"/>
  <c r="X112" i="3"/>
  <c r="X114" i="3" s="1"/>
  <c r="W112" i="3"/>
  <c r="W114" i="3" s="1"/>
  <c r="U112" i="3"/>
  <c r="U114" i="3" s="1"/>
  <c r="T112" i="3"/>
  <c r="T114" i="3" s="1"/>
  <c r="R112" i="3"/>
  <c r="R114" i="3" s="1"/>
  <c r="O112" i="3"/>
  <c r="O114" i="3" s="1"/>
  <c r="M112" i="3"/>
  <c r="M114" i="3" s="1"/>
  <c r="L112" i="3"/>
  <c r="L114" i="3" s="1"/>
  <c r="K112" i="3"/>
  <c r="K114" i="3" s="1"/>
  <c r="J112" i="3"/>
  <c r="J114" i="3" s="1"/>
  <c r="I112" i="3"/>
  <c r="I114" i="3" s="1"/>
  <c r="H112" i="3"/>
  <c r="H114" i="3" s="1"/>
  <c r="G112" i="3"/>
  <c r="G114" i="3" s="1"/>
  <c r="F112" i="3"/>
  <c r="F114" i="3" s="1"/>
  <c r="E112" i="3"/>
  <c r="E114" i="3" s="1"/>
  <c r="C112" i="3"/>
  <c r="C114" i="3" s="1"/>
  <c r="AI110" i="3"/>
  <c r="AG112" i="3" s="1"/>
  <c r="AE110" i="3"/>
  <c r="Y110" i="3"/>
  <c r="Y112" i="3" s="1"/>
  <c r="Y114" i="3" s="1"/>
  <c r="V110" i="3"/>
  <c r="V112" i="3" s="1"/>
  <c r="V114" i="3" s="1"/>
  <c r="S110" i="3"/>
  <c r="S112" i="3" s="1"/>
  <c r="S114" i="3" s="1"/>
  <c r="Q110" i="3"/>
  <c r="Q112" i="3" s="1"/>
  <c r="Q114" i="3" s="1"/>
  <c r="D110" i="3"/>
  <c r="R106" i="3"/>
  <c r="Q106" i="3"/>
  <c r="K106" i="3"/>
  <c r="J106" i="3"/>
  <c r="H106" i="3"/>
  <c r="AC105" i="3"/>
  <c r="AB104" i="3"/>
  <c r="AB106" i="3" s="1"/>
  <c r="AA104" i="3"/>
  <c r="AA106" i="3" s="1"/>
  <c r="Z104" i="3"/>
  <c r="Z106" i="3" s="1"/>
  <c r="X104" i="3"/>
  <c r="X106" i="3" s="1"/>
  <c r="W104" i="3"/>
  <c r="W106" i="3" s="1"/>
  <c r="U104" i="3"/>
  <c r="U106" i="3" s="1"/>
  <c r="T104" i="3"/>
  <c r="T106" i="3" s="1"/>
  <c r="P104" i="3"/>
  <c r="P106" i="3" s="1"/>
  <c r="O104" i="3"/>
  <c r="O106" i="3" s="1"/>
  <c r="N104" i="3"/>
  <c r="N106" i="3" s="1"/>
  <c r="M104" i="3"/>
  <c r="M106" i="3" s="1"/>
  <c r="L104" i="3"/>
  <c r="L106" i="3" s="1"/>
  <c r="I104" i="3"/>
  <c r="I106" i="3" s="1"/>
  <c r="G104" i="3"/>
  <c r="G106" i="3" s="1"/>
  <c r="F104" i="3"/>
  <c r="F106" i="3" s="1"/>
  <c r="E104" i="3"/>
  <c r="E106" i="3" s="1"/>
  <c r="C104" i="3"/>
  <c r="C106" i="3" s="1"/>
  <c r="AI102" i="3"/>
  <c r="AG104" i="3" s="1"/>
  <c r="AE102" i="3"/>
  <c r="Y102" i="3"/>
  <c r="Y104" i="3" s="1"/>
  <c r="Y106" i="3" s="1"/>
  <c r="V102" i="3"/>
  <c r="V104" i="3" s="1"/>
  <c r="V106" i="3" s="1"/>
  <c r="S102" i="3"/>
  <c r="D102" i="3"/>
  <c r="D104" i="3" s="1"/>
  <c r="D106" i="3" s="1"/>
  <c r="V98" i="3"/>
  <c r="Q98" i="3"/>
  <c r="P98" i="3"/>
  <c r="O98" i="3"/>
  <c r="K98" i="3"/>
  <c r="H98" i="3"/>
  <c r="E98" i="3"/>
  <c r="AC97" i="3"/>
  <c r="AB96" i="3"/>
  <c r="AB98" i="3" s="1"/>
  <c r="AA96" i="3"/>
  <c r="AA98" i="3" s="1"/>
  <c r="Z96" i="3"/>
  <c r="Z98" i="3" s="1"/>
  <c r="X96" i="3"/>
  <c r="X98" i="3" s="1"/>
  <c r="W96" i="3"/>
  <c r="W98" i="3" s="1"/>
  <c r="U96" i="3"/>
  <c r="U98" i="3" s="1"/>
  <c r="T96" i="3"/>
  <c r="T98" i="3" s="1"/>
  <c r="R96" i="3"/>
  <c r="R98" i="3" s="1"/>
  <c r="N96" i="3"/>
  <c r="N98" i="3" s="1"/>
  <c r="M96" i="3"/>
  <c r="M98" i="3" s="1"/>
  <c r="L96" i="3"/>
  <c r="L98" i="3" s="1"/>
  <c r="J96" i="3"/>
  <c r="J98" i="3" s="1"/>
  <c r="I96" i="3"/>
  <c r="I98" i="3" s="1"/>
  <c r="G96" i="3"/>
  <c r="G98" i="3" s="1"/>
  <c r="F96" i="3"/>
  <c r="F98" i="3" s="1"/>
  <c r="C96" i="3"/>
  <c r="C98" i="3" s="1"/>
  <c r="AI94" i="3"/>
  <c r="AG96" i="3" s="1"/>
  <c r="AE94" i="3"/>
  <c r="Y94" i="3"/>
  <c r="Y96" i="3" s="1"/>
  <c r="Y98" i="3" s="1"/>
  <c r="S94" i="3"/>
  <c r="S96" i="3" s="1"/>
  <c r="S98" i="3" s="1"/>
  <c r="D94" i="3"/>
  <c r="Q90" i="3"/>
  <c r="L90" i="3"/>
  <c r="AC89" i="3"/>
  <c r="AB88" i="3"/>
  <c r="AB90" i="3" s="1"/>
  <c r="AA88" i="3"/>
  <c r="AA90" i="3" s="1"/>
  <c r="Z88" i="3"/>
  <c r="Z90" i="3" s="1"/>
  <c r="X88" i="3"/>
  <c r="X90" i="3" s="1"/>
  <c r="W88" i="3"/>
  <c r="W90" i="3" s="1"/>
  <c r="U88" i="3"/>
  <c r="U90" i="3" s="1"/>
  <c r="T88" i="3"/>
  <c r="T90" i="3" s="1"/>
  <c r="R88" i="3"/>
  <c r="R90" i="3" s="1"/>
  <c r="P88" i="3"/>
  <c r="P90" i="3" s="1"/>
  <c r="O88" i="3"/>
  <c r="O90" i="3" s="1"/>
  <c r="N88" i="3"/>
  <c r="N90" i="3" s="1"/>
  <c r="M88" i="3"/>
  <c r="M90" i="3" s="1"/>
  <c r="K88" i="3"/>
  <c r="K90" i="3" s="1"/>
  <c r="J88" i="3"/>
  <c r="J90" i="3" s="1"/>
  <c r="I88" i="3"/>
  <c r="I90" i="3" s="1"/>
  <c r="H88" i="3"/>
  <c r="H90" i="3" s="1"/>
  <c r="G88" i="3"/>
  <c r="G90" i="3" s="1"/>
  <c r="F88" i="3"/>
  <c r="F90" i="3" s="1"/>
  <c r="E88" i="3"/>
  <c r="C88" i="3"/>
  <c r="C90" i="3" s="1"/>
  <c r="AI86" i="3"/>
  <c r="AG88" i="3" s="1"/>
  <c r="AE86" i="3"/>
  <c r="Y86" i="3"/>
  <c r="Y88" i="3" s="1"/>
  <c r="Y90" i="3" s="1"/>
  <c r="V86" i="3"/>
  <c r="V88" i="3" s="1"/>
  <c r="V90" i="3" s="1"/>
  <c r="S86" i="3"/>
  <c r="S88" i="3" s="1"/>
  <c r="S90" i="3" s="1"/>
  <c r="D86" i="3"/>
  <c r="D88" i="3" s="1"/>
  <c r="D90" i="3" s="1"/>
  <c r="W82" i="3"/>
  <c r="J82" i="3"/>
  <c r="AC81" i="3"/>
  <c r="AB80" i="3"/>
  <c r="AB82" i="3" s="1"/>
  <c r="AA80" i="3"/>
  <c r="AA82" i="3" s="1"/>
  <c r="Z80" i="3"/>
  <c r="Z82" i="3" s="1"/>
  <c r="X80" i="3"/>
  <c r="X82" i="3" s="1"/>
  <c r="U80" i="3"/>
  <c r="U82" i="3" s="1"/>
  <c r="T80" i="3"/>
  <c r="T82" i="3" s="1"/>
  <c r="R80" i="3"/>
  <c r="R82" i="3" s="1"/>
  <c r="P80" i="3"/>
  <c r="P82" i="3" s="1"/>
  <c r="O80" i="3"/>
  <c r="O82" i="3" s="1"/>
  <c r="N80" i="3"/>
  <c r="N82" i="3" s="1"/>
  <c r="M80" i="3"/>
  <c r="M82" i="3" s="1"/>
  <c r="L80" i="3"/>
  <c r="L82" i="3" s="1"/>
  <c r="K80" i="3"/>
  <c r="K82" i="3" s="1"/>
  <c r="I80" i="3"/>
  <c r="I82" i="3" s="1"/>
  <c r="H80" i="3"/>
  <c r="H82" i="3" s="1"/>
  <c r="G80" i="3"/>
  <c r="G82" i="3" s="1"/>
  <c r="F80" i="3"/>
  <c r="F82" i="3" s="1"/>
  <c r="E80" i="3"/>
  <c r="E82" i="3" s="1"/>
  <c r="C80" i="3"/>
  <c r="C82" i="3" s="1"/>
  <c r="AI78" i="3"/>
  <c r="AG80" i="3" s="1"/>
  <c r="AE78" i="3"/>
  <c r="Y78" i="3"/>
  <c r="Y80" i="3" s="1"/>
  <c r="Y82" i="3" s="1"/>
  <c r="V78" i="3"/>
  <c r="V80" i="3" s="1"/>
  <c r="V82" i="3" s="1"/>
  <c r="S78" i="3"/>
  <c r="S80" i="3" s="1"/>
  <c r="S82" i="3" s="1"/>
  <c r="Q78" i="3"/>
  <c r="Q80" i="3" s="1"/>
  <c r="Q82" i="3" s="1"/>
  <c r="D78" i="3"/>
  <c r="X75" i="3"/>
  <c r="U75" i="3"/>
  <c r="O75" i="3"/>
  <c r="AC74" i="3"/>
  <c r="AB73" i="3"/>
  <c r="AB75" i="3" s="1"/>
  <c r="AA73" i="3"/>
  <c r="AA75" i="3" s="1"/>
  <c r="Z73" i="3"/>
  <c r="Z75" i="3" s="1"/>
  <c r="W73" i="3"/>
  <c r="W75" i="3" s="1"/>
  <c r="T73" i="3"/>
  <c r="T75" i="3" s="1"/>
  <c r="R73" i="3"/>
  <c r="R75" i="3" s="1"/>
  <c r="P73" i="3"/>
  <c r="P75" i="3" s="1"/>
  <c r="N73" i="3"/>
  <c r="N75" i="3" s="1"/>
  <c r="M73" i="3"/>
  <c r="M75" i="3" s="1"/>
  <c r="L73" i="3"/>
  <c r="L75" i="3" s="1"/>
  <c r="K73" i="3"/>
  <c r="K75" i="3" s="1"/>
  <c r="J73" i="3"/>
  <c r="J75" i="3" s="1"/>
  <c r="I73" i="3"/>
  <c r="I75" i="3" s="1"/>
  <c r="H73" i="3"/>
  <c r="H75" i="3" s="1"/>
  <c r="G73" i="3"/>
  <c r="G75" i="3" s="1"/>
  <c r="F73" i="3"/>
  <c r="F75" i="3" s="1"/>
  <c r="E73" i="3"/>
  <c r="E75" i="3" s="1"/>
  <c r="C73" i="3"/>
  <c r="C75" i="3" s="1"/>
  <c r="AI71" i="3"/>
  <c r="AG73" i="3" s="1"/>
  <c r="AE71" i="3"/>
  <c r="Y71" i="3"/>
  <c r="Y73" i="3" s="1"/>
  <c r="Y75" i="3" s="1"/>
  <c r="V71" i="3"/>
  <c r="V73" i="3" s="1"/>
  <c r="V75" i="3" s="1"/>
  <c r="S71" i="3"/>
  <c r="S73" i="3" s="1"/>
  <c r="S75" i="3" s="1"/>
  <c r="Q71" i="3"/>
  <c r="Q73" i="3" s="1"/>
  <c r="Q75" i="3" s="1"/>
  <c r="D71" i="3"/>
  <c r="T67" i="3"/>
  <c r="Q67" i="3"/>
  <c r="I67" i="3"/>
  <c r="AC66" i="3"/>
  <c r="AB65" i="3"/>
  <c r="AB67" i="3" s="1"/>
  <c r="AA65" i="3"/>
  <c r="AA67" i="3" s="1"/>
  <c r="Z65" i="3"/>
  <c r="Z67" i="3" s="1"/>
  <c r="X65" i="3"/>
  <c r="X67" i="3" s="1"/>
  <c r="W65" i="3"/>
  <c r="W67" i="3" s="1"/>
  <c r="U65" i="3"/>
  <c r="U67" i="3" s="1"/>
  <c r="R65" i="3"/>
  <c r="R67" i="3" s="1"/>
  <c r="P65" i="3"/>
  <c r="P67" i="3" s="1"/>
  <c r="O65" i="3"/>
  <c r="O67" i="3" s="1"/>
  <c r="N65" i="3"/>
  <c r="N67" i="3" s="1"/>
  <c r="M65" i="3"/>
  <c r="M67" i="3" s="1"/>
  <c r="L65" i="3"/>
  <c r="L67" i="3" s="1"/>
  <c r="K65" i="3"/>
  <c r="K67" i="3" s="1"/>
  <c r="J65" i="3"/>
  <c r="J67" i="3" s="1"/>
  <c r="H65" i="3"/>
  <c r="H67" i="3" s="1"/>
  <c r="G65" i="3"/>
  <c r="G67" i="3" s="1"/>
  <c r="F65" i="3"/>
  <c r="F67" i="3" s="1"/>
  <c r="E65" i="3"/>
  <c r="E67" i="3" s="1"/>
  <c r="C65" i="3"/>
  <c r="AI63" i="3"/>
  <c r="AE63" i="3"/>
  <c r="Y63" i="3"/>
  <c r="Y65" i="3" s="1"/>
  <c r="Y67" i="3" s="1"/>
  <c r="V63" i="3"/>
  <c r="V65" i="3" s="1"/>
  <c r="V67" i="3" s="1"/>
  <c r="S63" i="3"/>
  <c r="S65" i="3" s="1"/>
  <c r="S67" i="3" s="1"/>
  <c r="D63" i="3"/>
  <c r="T59" i="3"/>
  <c r="L59" i="3"/>
  <c r="K59" i="3"/>
  <c r="H59" i="3"/>
  <c r="AC58" i="3"/>
  <c r="AB57" i="3"/>
  <c r="AB59" i="3" s="1"/>
  <c r="AA57" i="3"/>
  <c r="AA59" i="3" s="1"/>
  <c r="Z57" i="3"/>
  <c r="Z59" i="3" s="1"/>
  <c r="X57" i="3"/>
  <c r="X59" i="3" s="1"/>
  <c r="W57" i="3"/>
  <c r="W59" i="3" s="1"/>
  <c r="U57" i="3"/>
  <c r="U59" i="3" s="1"/>
  <c r="R57" i="3"/>
  <c r="R59" i="3" s="1"/>
  <c r="P57" i="3"/>
  <c r="P59" i="3" s="1"/>
  <c r="O57" i="3"/>
  <c r="O59" i="3" s="1"/>
  <c r="N57" i="3"/>
  <c r="N59" i="3" s="1"/>
  <c r="M57" i="3"/>
  <c r="M59" i="3" s="1"/>
  <c r="J57" i="3"/>
  <c r="J59" i="3" s="1"/>
  <c r="I57" i="3"/>
  <c r="I59" i="3" s="1"/>
  <c r="G57" i="3"/>
  <c r="G59" i="3" s="1"/>
  <c r="F57" i="3"/>
  <c r="F59" i="3" s="1"/>
  <c r="E57" i="3"/>
  <c r="E59" i="3" s="1"/>
  <c r="C57" i="3"/>
  <c r="C59" i="3" s="1"/>
  <c r="AI55" i="3"/>
  <c r="AG57" i="3" s="1"/>
  <c r="AE55" i="3"/>
  <c r="Y55" i="3"/>
  <c r="Y57" i="3" s="1"/>
  <c r="Y59" i="3" s="1"/>
  <c r="V55" i="3"/>
  <c r="V57" i="3" s="1"/>
  <c r="V59" i="3" s="1"/>
  <c r="S55" i="3"/>
  <c r="S57" i="3" s="1"/>
  <c r="S59" i="3" s="1"/>
  <c r="Q55" i="3"/>
  <c r="D55" i="3"/>
  <c r="D57" i="3" s="1"/>
  <c r="D59" i="3" s="1"/>
  <c r="AB52" i="3"/>
  <c r="R52" i="3"/>
  <c r="P52" i="3"/>
  <c r="J52" i="3"/>
  <c r="AC51" i="3"/>
  <c r="AA50" i="3"/>
  <c r="AA52" i="3" s="1"/>
  <c r="Z50" i="3"/>
  <c r="Z52" i="3" s="1"/>
  <c r="X50" i="3"/>
  <c r="X52" i="3" s="1"/>
  <c r="W50" i="3"/>
  <c r="W52" i="3" s="1"/>
  <c r="U50" i="3"/>
  <c r="U52" i="3" s="1"/>
  <c r="T50" i="3"/>
  <c r="T52" i="3" s="1"/>
  <c r="O50" i="3"/>
  <c r="O52" i="3" s="1"/>
  <c r="N50" i="3"/>
  <c r="N52" i="3" s="1"/>
  <c r="M50" i="3"/>
  <c r="M52" i="3" s="1"/>
  <c r="L50" i="3"/>
  <c r="L52" i="3" s="1"/>
  <c r="K50" i="3"/>
  <c r="K52" i="3" s="1"/>
  <c r="I50" i="3"/>
  <c r="I52" i="3" s="1"/>
  <c r="H50" i="3"/>
  <c r="H52" i="3" s="1"/>
  <c r="G50" i="3"/>
  <c r="G52" i="3" s="1"/>
  <c r="F50" i="3"/>
  <c r="F52" i="3" s="1"/>
  <c r="E50" i="3"/>
  <c r="E52" i="3" s="1"/>
  <c r="C50" i="3"/>
  <c r="C52" i="3" s="1"/>
  <c r="AI48" i="3"/>
  <c r="AG50" i="3" s="1"/>
  <c r="AE48" i="3"/>
  <c r="Y48" i="3"/>
  <c r="Y50" i="3" s="1"/>
  <c r="Y52" i="3" s="1"/>
  <c r="V48" i="3"/>
  <c r="V50" i="3" s="1"/>
  <c r="V52" i="3" s="1"/>
  <c r="S48" i="3"/>
  <c r="Q48" i="3"/>
  <c r="Q50" i="3" s="1"/>
  <c r="Q52" i="3" s="1"/>
  <c r="D48" i="3"/>
  <c r="D50" i="3" s="1"/>
  <c r="AC45" i="3"/>
  <c r="X44" i="3"/>
  <c r="X46" i="3" s="1"/>
  <c r="W44" i="3"/>
  <c r="W46" i="3" s="1"/>
  <c r="U44" i="3"/>
  <c r="U46" i="3" s="1"/>
  <c r="T44" i="3"/>
  <c r="T46" i="3" s="1"/>
  <c r="R44" i="3"/>
  <c r="R46" i="3" s="1"/>
  <c r="P44" i="3"/>
  <c r="P46" i="3" s="1"/>
  <c r="O44" i="3"/>
  <c r="O46" i="3" s="1"/>
  <c r="N44" i="3"/>
  <c r="N46" i="3" s="1"/>
  <c r="M44" i="3"/>
  <c r="M46" i="3" s="1"/>
  <c r="K44" i="3"/>
  <c r="K46" i="3" s="1"/>
  <c r="I44" i="3"/>
  <c r="I46" i="3" s="1"/>
  <c r="H44" i="3"/>
  <c r="H46" i="3" s="1"/>
  <c r="F44" i="3"/>
  <c r="F46" i="3" s="1"/>
  <c r="D44" i="3"/>
  <c r="D46" i="3" s="1"/>
  <c r="C44" i="3"/>
  <c r="C46" i="3" s="1"/>
  <c r="AI42" i="3"/>
  <c r="AG44" i="3" s="1"/>
  <c r="AE42" i="3"/>
  <c r="AB42" i="3"/>
  <c r="AB44" i="3" s="1"/>
  <c r="AB46" i="3" s="1"/>
  <c r="AA42" i="3"/>
  <c r="AA44" i="3" s="1"/>
  <c r="AA46" i="3" s="1"/>
  <c r="Z42" i="3"/>
  <c r="Z44" i="3" s="1"/>
  <c r="Z46" i="3" s="1"/>
  <c r="Y42" i="3"/>
  <c r="Y44" i="3" s="1"/>
  <c r="Y46" i="3" s="1"/>
  <c r="V42" i="3"/>
  <c r="V44" i="3" s="1"/>
  <c r="V46" i="3" s="1"/>
  <c r="S42" i="3"/>
  <c r="S44" i="3" s="1"/>
  <c r="S46" i="3" s="1"/>
  <c r="Q42" i="3"/>
  <c r="Q44" i="3" s="1"/>
  <c r="Q46" i="3" s="1"/>
  <c r="L42" i="3"/>
  <c r="L44" i="3" s="1"/>
  <c r="L46" i="3" s="1"/>
  <c r="J42" i="3"/>
  <c r="J44" i="3" s="1"/>
  <c r="J46" i="3" s="1"/>
  <c r="G42" i="3"/>
  <c r="G44" i="3" s="1"/>
  <c r="G46" i="3" s="1"/>
  <c r="E42" i="3"/>
  <c r="E44" i="3" s="1"/>
  <c r="E46" i="3" s="1"/>
  <c r="AC38" i="3"/>
  <c r="AJ37" i="3"/>
  <c r="AI37" i="3"/>
  <c r="X37" i="3"/>
  <c r="X39" i="3" s="1"/>
  <c r="W37" i="3"/>
  <c r="W39" i="3" s="1"/>
  <c r="U37" i="3"/>
  <c r="U39" i="3" s="1"/>
  <c r="T37" i="3"/>
  <c r="T39" i="3" s="1"/>
  <c r="R37" i="3"/>
  <c r="R39" i="3" s="1"/>
  <c r="P37" i="3"/>
  <c r="P39" i="3" s="1"/>
  <c r="O37" i="3"/>
  <c r="O39" i="3" s="1"/>
  <c r="N37" i="3"/>
  <c r="N39" i="3" s="1"/>
  <c r="M37" i="3"/>
  <c r="M39" i="3" s="1"/>
  <c r="K37" i="3"/>
  <c r="K39" i="3" s="1"/>
  <c r="I37" i="3"/>
  <c r="I39" i="3" s="1"/>
  <c r="H37" i="3"/>
  <c r="H39" i="3" s="1"/>
  <c r="F37" i="3"/>
  <c r="F39" i="3" s="1"/>
  <c r="D37" i="3"/>
  <c r="D39" i="3" s="1"/>
  <c r="C37" i="3"/>
  <c r="C39" i="3" s="1"/>
  <c r="AI35" i="3"/>
  <c r="AE35" i="3"/>
  <c r="AB35" i="3"/>
  <c r="AB37" i="3" s="1"/>
  <c r="AB39" i="3" s="1"/>
  <c r="AA35" i="3"/>
  <c r="AA37" i="3" s="1"/>
  <c r="AA39" i="3" s="1"/>
  <c r="Z35" i="3"/>
  <c r="Z37" i="3" s="1"/>
  <c r="Z39" i="3" s="1"/>
  <c r="Y35" i="3"/>
  <c r="Y37" i="3" s="1"/>
  <c r="Y39" i="3" s="1"/>
  <c r="V35" i="3"/>
  <c r="V37" i="3" s="1"/>
  <c r="V39" i="3" s="1"/>
  <c r="S35" i="3"/>
  <c r="S37" i="3" s="1"/>
  <c r="S39" i="3" s="1"/>
  <c r="Q35" i="3"/>
  <c r="Q37" i="3" s="1"/>
  <c r="Q39" i="3" s="1"/>
  <c r="L35" i="3"/>
  <c r="L37" i="3" s="1"/>
  <c r="L39" i="3" s="1"/>
  <c r="J35" i="3"/>
  <c r="J37" i="3" s="1"/>
  <c r="J39" i="3" s="1"/>
  <c r="G35" i="3"/>
  <c r="G37" i="3" s="1"/>
  <c r="G39" i="3" s="1"/>
  <c r="E35" i="3"/>
  <c r="E37" i="3" s="1"/>
  <c r="E39" i="3" s="1"/>
  <c r="P32" i="3"/>
  <c r="O32" i="3"/>
  <c r="I32" i="3"/>
  <c r="AC31" i="3"/>
  <c r="AB30" i="3"/>
  <c r="AB32" i="3" s="1"/>
  <c r="AA30" i="3"/>
  <c r="AA32" i="3" s="1"/>
  <c r="Z30" i="3"/>
  <c r="Z32" i="3" s="1"/>
  <c r="X30" i="3"/>
  <c r="X32" i="3" s="1"/>
  <c r="W30" i="3"/>
  <c r="W32" i="3" s="1"/>
  <c r="U30" i="3"/>
  <c r="U32" i="3" s="1"/>
  <c r="T30" i="3"/>
  <c r="T32" i="3" s="1"/>
  <c r="R30" i="3"/>
  <c r="R32" i="3" s="1"/>
  <c r="N30" i="3"/>
  <c r="N32" i="3" s="1"/>
  <c r="M30" i="3"/>
  <c r="M32" i="3" s="1"/>
  <c r="L30" i="3"/>
  <c r="L32" i="3" s="1"/>
  <c r="K30" i="3"/>
  <c r="K32" i="3" s="1"/>
  <c r="J30" i="3"/>
  <c r="J32" i="3" s="1"/>
  <c r="H30" i="3"/>
  <c r="H32" i="3" s="1"/>
  <c r="G30" i="3"/>
  <c r="G32" i="3" s="1"/>
  <c r="F30" i="3"/>
  <c r="F32" i="3" s="1"/>
  <c r="E30" i="3"/>
  <c r="C30" i="3"/>
  <c r="C32" i="3" s="1"/>
  <c r="AI28" i="3"/>
  <c r="AG30" i="3" s="1"/>
  <c r="AE28" i="3"/>
  <c r="Y28" i="3"/>
  <c r="Y30" i="3" s="1"/>
  <c r="Y32" i="3" s="1"/>
  <c r="V28" i="3"/>
  <c r="V30" i="3" s="1"/>
  <c r="V32" i="3" s="1"/>
  <c r="S28" i="3"/>
  <c r="S30" i="3" s="1"/>
  <c r="S32" i="3" s="1"/>
  <c r="Q28" i="3"/>
  <c r="D28" i="3"/>
  <c r="D30" i="3" s="1"/>
  <c r="D32" i="3" s="1"/>
  <c r="AJ25" i="3"/>
  <c r="W25" i="3"/>
  <c r="M25" i="3"/>
  <c r="AC24" i="3"/>
  <c r="AB23" i="3"/>
  <c r="AB25" i="3" s="1"/>
  <c r="AA23" i="3"/>
  <c r="AA25" i="3" s="1"/>
  <c r="Z23" i="3"/>
  <c r="Z25" i="3" s="1"/>
  <c r="X23" i="3"/>
  <c r="X25" i="3" s="1"/>
  <c r="U23" i="3"/>
  <c r="U25" i="3" s="1"/>
  <c r="T23" i="3"/>
  <c r="T25" i="3" s="1"/>
  <c r="R23" i="3"/>
  <c r="R25" i="3" s="1"/>
  <c r="P23" i="3"/>
  <c r="P25" i="3" s="1"/>
  <c r="O23" i="3"/>
  <c r="O25" i="3" s="1"/>
  <c r="N23" i="3"/>
  <c r="N25" i="3" s="1"/>
  <c r="L23" i="3"/>
  <c r="L25" i="3" s="1"/>
  <c r="K23" i="3"/>
  <c r="K25" i="3" s="1"/>
  <c r="J23" i="3"/>
  <c r="J25" i="3" s="1"/>
  <c r="I23" i="3"/>
  <c r="I25" i="3" s="1"/>
  <c r="H23" i="3"/>
  <c r="H25" i="3" s="1"/>
  <c r="G23" i="3"/>
  <c r="G25" i="3" s="1"/>
  <c r="F23" i="3"/>
  <c r="F25" i="3" s="1"/>
  <c r="E23" i="3"/>
  <c r="E25" i="3" s="1"/>
  <c r="C23" i="3"/>
  <c r="C25" i="3" s="1"/>
  <c r="AI21" i="3"/>
  <c r="AG23" i="3" s="1"/>
  <c r="AE21" i="3"/>
  <c r="Y21" i="3"/>
  <c r="Y23" i="3" s="1"/>
  <c r="Y25" i="3" s="1"/>
  <c r="V21" i="3"/>
  <c r="V23" i="3" s="1"/>
  <c r="V25" i="3" s="1"/>
  <c r="S21" i="3"/>
  <c r="Q21" i="3"/>
  <c r="Q23" i="3" s="1"/>
  <c r="Q25" i="3" s="1"/>
  <c r="D21" i="3"/>
  <c r="D23" i="3" s="1"/>
  <c r="D25" i="3" s="1"/>
  <c r="X17" i="3"/>
  <c r="Q17" i="3"/>
  <c r="AC16" i="3"/>
  <c r="AB15" i="3"/>
  <c r="AB17" i="3" s="1"/>
  <c r="AA15" i="3"/>
  <c r="AA17" i="3" s="1"/>
  <c r="Z15" i="3"/>
  <c r="Z17" i="3" s="1"/>
  <c r="W15" i="3"/>
  <c r="W17" i="3" s="1"/>
  <c r="U15" i="3"/>
  <c r="U17" i="3" s="1"/>
  <c r="T15" i="3"/>
  <c r="T17" i="3" s="1"/>
  <c r="R15" i="3"/>
  <c r="R17" i="3" s="1"/>
  <c r="P15" i="3"/>
  <c r="P17" i="3" s="1"/>
  <c r="O15" i="3"/>
  <c r="O17" i="3" s="1"/>
  <c r="N15" i="3"/>
  <c r="N17" i="3" s="1"/>
  <c r="M15" i="3"/>
  <c r="M17" i="3" s="1"/>
  <c r="L15" i="3"/>
  <c r="L17" i="3" s="1"/>
  <c r="K15" i="3"/>
  <c r="K17" i="3" s="1"/>
  <c r="J15" i="3"/>
  <c r="J17" i="3" s="1"/>
  <c r="I15" i="3"/>
  <c r="I17" i="3" s="1"/>
  <c r="H15" i="3"/>
  <c r="H17" i="3" s="1"/>
  <c r="G15" i="3"/>
  <c r="G17" i="3" s="1"/>
  <c r="F15" i="3"/>
  <c r="F17" i="3" s="1"/>
  <c r="E15" i="3"/>
  <c r="E17" i="3" s="1"/>
  <c r="C15" i="3"/>
  <c r="AI13" i="3"/>
  <c r="AE13" i="3"/>
  <c r="Y13" i="3"/>
  <c r="Y15" i="3" s="1"/>
  <c r="Y17" i="3" s="1"/>
  <c r="V13" i="3"/>
  <c r="V15" i="3" s="1"/>
  <c r="V17" i="3" s="1"/>
  <c r="S13" i="3"/>
  <c r="S15" i="3" s="1"/>
  <c r="S17" i="3" s="1"/>
  <c r="D13" i="3"/>
  <c r="D15" i="3" s="1"/>
  <c r="D17" i="3" s="1"/>
  <c r="AH10" i="3"/>
  <c r="AA10" i="3"/>
  <c r="Y10" i="3"/>
  <c r="H10" i="3"/>
  <c r="G10" i="3"/>
  <c r="AC9" i="3"/>
  <c r="AB8" i="3"/>
  <c r="AB10" i="3" s="1"/>
  <c r="Z8" i="3"/>
  <c r="Z10" i="3" s="1"/>
  <c r="X8" i="3"/>
  <c r="X10" i="3" s="1"/>
  <c r="W8" i="3"/>
  <c r="W10" i="3" s="1"/>
  <c r="U8" i="3"/>
  <c r="U10" i="3" s="1"/>
  <c r="T8" i="3"/>
  <c r="T10" i="3" s="1"/>
  <c r="R8" i="3"/>
  <c r="R10" i="3" s="1"/>
  <c r="P8" i="3"/>
  <c r="P10" i="3" s="1"/>
  <c r="O8" i="3"/>
  <c r="O10" i="3" s="1"/>
  <c r="N8" i="3"/>
  <c r="N10" i="3" s="1"/>
  <c r="M8" i="3"/>
  <c r="M10" i="3" s="1"/>
  <c r="L8" i="3"/>
  <c r="L10" i="3" s="1"/>
  <c r="K8" i="3"/>
  <c r="K10" i="3" s="1"/>
  <c r="J8" i="3"/>
  <c r="J10" i="3" s="1"/>
  <c r="I8" i="3"/>
  <c r="I10" i="3" s="1"/>
  <c r="F8" i="3"/>
  <c r="F10" i="3" s="1"/>
  <c r="E8" i="3"/>
  <c r="E10" i="3" s="1"/>
  <c r="C8" i="3"/>
  <c r="C10" i="3" s="1"/>
  <c r="AI6" i="3"/>
  <c r="AG8" i="3" s="1"/>
  <c r="AE6" i="3"/>
  <c r="V6" i="3"/>
  <c r="V8" i="3" s="1"/>
  <c r="V10" i="3" s="1"/>
  <c r="S6" i="3"/>
  <c r="S8" i="3" s="1"/>
  <c r="S10" i="3" s="1"/>
  <c r="Q6" i="3"/>
  <c r="Q8" i="3" s="1"/>
  <c r="Q10" i="3" s="1"/>
  <c r="D6" i="3"/>
  <c r="D8" i="3" s="1"/>
  <c r="AE139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X137" i="2"/>
  <c r="W137" i="2"/>
  <c r="V137" i="2"/>
  <c r="U137" i="2"/>
  <c r="T137" i="2"/>
  <c r="S137" i="2"/>
  <c r="R137" i="2"/>
  <c r="P137" i="2"/>
  <c r="O137" i="2"/>
  <c r="M137" i="2"/>
  <c r="K137" i="2"/>
  <c r="J137" i="2"/>
  <c r="G137" i="2"/>
  <c r="F137" i="2"/>
  <c r="E137" i="2"/>
  <c r="D137" i="2"/>
  <c r="C137" i="2"/>
  <c r="AD135" i="2"/>
  <c r="AF135" i="2" s="1"/>
  <c r="AA135" i="2"/>
  <c r="AB135" i="2" s="1"/>
  <c r="Y135" i="2"/>
  <c r="Y137" i="2" s="1"/>
  <c r="Q135" i="2"/>
  <c r="Q137" i="2" s="1"/>
  <c r="N135" i="2"/>
  <c r="N137" i="2" s="1"/>
  <c r="L135" i="2"/>
  <c r="L137" i="2" s="1"/>
  <c r="I135" i="2"/>
  <c r="I137" i="2" s="1"/>
  <c r="H135" i="2"/>
  <c r="AE130" i="2"/>
  <c r="G130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X128" i="2"/>
  <c r="W128" i="2"/>
  <c r="V128" i="2"/>
  <c r="U128" i="2"/>
  <c r="T128" i="2"/>
  <c r="S128" i="2"/>
  <c r="R128" i="2"/>
  <c r="P128" i="2"/>
  <c r="O128" i="2"/>
  <c r="M128" i="2"/>
  <c r="K128" i="2"/>
  <c r="J128" i="2"/>
  <c r="G128" i="2"/>
  <c r="F128" i="2"/>
  <c r="E128" i="2"/>
  <c r="D128" i="2"/>
  <c r="C128" i="2"/>
  <c r="AD126" i="2"/>
  <c r="AF126" i="2" s="1"/>
  <c r="AA126" i="2"/>
  <c r="AB126" i="2" s="1"/>
  <c r="Y126" i="2"/>
  <c r="Y128" i="2" s="1"/>
  <c r="Q126" i="2"/>
  <c r="Q128" i="2" s="1"/>
  <c r="N126" i="2"/>
  <c r="N128" i="2" s="1"/>
  <c r="L126" i="2"/>
  <c r="L128" i="2" s="1"/>
  <c r="I126" i="2"/>
  <c r="H126" i="2"/>
  <c r="H128" i="2" s="1"/>
  <c r="AE122" i="2"/>
  <c r="M122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X120" i="2"/>
  <c r="W120" i="2"/>
  <c r="V120" i="2"/>
  <c r="U120" i="2"/>
  <c r="T120" i="2"/>
  <c r="S120" i="2"/>
  <c r="R120" i="2"/>
  <c r="P120" i="2"/>
  <c r="O120" i="2"/>
  <c r="M120" i="2"/>
  <c r="K120" i="2"/>
  <c r="J120" i="2"/>
  <c r="G120" i="2"/>
  <c r="F120" i="2"/>
  <c r="E120" i="2"/>
  <c r="D120" i="2"/>
  <c r="C120" i="2"/>
  <c r="AD118" i="2"/>
  <c r="AF118" i="2" s="1"/>
  <c r="AD120" i="2" s="1"/>
  <c r="AA118" i="2"/>
  <c r="AB118" i="2" s="1"/>
  <c r="Y118" i="2"/>
  <c r="Y120" i="2" s="1"/>
  <c r="Q118" i="2"/>
  <c r="Q120" i="2" s="1"/>
  <c r="N118" i="2"/>
  <c r="N120" i="2" s="1"/>
  <c r="L118" i="2"/>
  <c r="L120" i="2" s="1"/>
  <c r="L122" i="2" s="1"/>
  <c r="I118" i="2"/>
  <c r="I120" i="2" s="1"/>
  <c r="H118" i="2"/>
  <c r="AE114" i="2"/>
  <c r="Y114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Y112" i="2"/>
  <c r="X112" i="2"/>
  <c r="W112" i="2"/>
  <c r="V112" i="2"/>
  <c r="U112" i="2"/>
  <c r="T112" i="2"/>
  <c r="S112" i="2"/>
  <c r="R112" i="2"/>
  <c r="P112" i="2"/>
  <c r="O112" i="2"/>
  <c r="M112" i="2"/>
  <c r="K112" i="2"/>
  <c r="J112" i="2"/>
  <c r="G112" i="2"/>
  <c r="F112" i="2"/>
  <c r="E112" i="2"/>
  <c r="D112" i="2"/>
  <c r="C112" i="2"/>
  <c r="AD110" i="2"/>
  <c r="AF110" i="2" s="1"/>
  <c r="AD112" i="2" s="1"/>
  <c r="AA110" i="2"/>
  <c r="AB110" i="2" s="1"/>
  <c r="Q110" i="2"/>
  <c r="Q112" i="2" s="1"/>
  <c r="N110" i="2"/>
  <c r="N112" i="2" s="1"/>
  <c r="L110" i="2"/>
  <c r="L112" i="2" s="1"/>
  <c r="I110" i="2"/>
  <c r="I112" i="2" s="1"/>
  <c r="H110" i="2"/>
  <c r="H112" i="2" s="1"/>
  <c r="AE106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X104" i="2"/>
  <c r="W104" i="2"/>
  <c r="V104" i="2"/>
  <c r="U104" i="2"/>
  <c r="T104" i="2"/>
  <c r="S104" i="2"/>
  <c r="R104" i="2"/>
  <c r="P104" i="2"/>
  <c r="O104" i="2"/>
  <c r="M104" i="2"/>
  <c r="K104" i="2"/>
  <c r="J104" i="2"/>
  <c r="G104" i="2"/>
  <c r="F104" i="2"/>
  <c r="E104" i="2"/>
  <c r="D104" i="2"/>
  <c r="C104" i="2"/>
  <c r="AD102" i="2"/>
  <c r="AF102" i="2" s="1"/>
  <c r="AA102" i="2"/>
  <c r="AB102" i="2" s="1"/>
  <c r="Y102" i="2"/>
  <c r="Y104" i="2" s="1"/>
  <c r="Q102" i="2"/>
  <c r="Q104" i="2" s="1"/>
  <c r="N102" i="2"/>
  <c r="N104" i="2" s="1"/>
  <c r="L102" i="2"/>
  <c r="L104" i="2" s="1"/>
  <c r="I102" i="2"/>
  <c r="I104" i="2" s="1"/>
  <c r="H102" i="2"/>
  <c r="H104" i="2" s="1"/>
  <c r="AE98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X96" i="2"/>
  <c r="W96" i="2"/>
  <c r="V96" i="2"/>
  <c r="U96" i="2"/>
  <c r="T96" i="2"/>
  <c r="S96" i="2"/>
  <c r="R96" i="2"/>
  <c r="P96" i="2"/>
  <c r="O96" i="2"/>
  <c r="M96" i="2"/>
  <c r="K96" i="2"/>
  <c r="J96" i="2"/>
  <c r="G96" i="2"/>
  <c r="F96" i="2"/>
  <c r="E96" i="2"/>
  <c r="D96" i="2"/>
  <c r="C96" i="2"/>
  <c r="AD94" i="2"/>
  <c r="AF94" i="2" s="1"/>
  <c r="AD96" i="2" s="1"/>
  <c r="AA94" i="2"/>
  <c r="AB94" i="2" s="1"/>
  <c r="Y94" i="2"/>
  <c r="Y96" i="2" s="1"/>
  <c r="Q94" i="2"/>
  <c r="Q96" i="2" s="1"/>
  <c r="N94" i="2"/>
  <c r="N96" i="2" s="1"/>
  <c r="L94" i="2"/>
  <c r="L96" i="2" s="1"/>
  <c r="L98" i="2" s="1"/>
  <c r="I94" i="2"/>
  <c r="I96" i="2" s="1"/>
  <c r="H94" i="2"/>
  <c r="AE90" i="2"/>
  <c r="S90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X88" i="2"/>
  <c r="W88" i="2"/>
  <c r="V88" i="2"/>
  <c r="U88" i="2"/>
  <c r="T88" i="2"/>
  <c r="S88" i="2"/>
  <c r="R88" i="2"/>
  <c r="P88" i="2"/>
  <c r="O88" i="2"/>
  <c r="M88" i="2"/>
  <c r="K88" i="2"/>
  <c r="J88" i="2"/>
  <c r="G88" i="2"/>
  <c r="F88" i="2"/>
  <c r="E88" i="2"/>
  <c r="D88" i="2"/>
  <c r="C88" i="2"/>
  <c r="AD86" i="2"/>
  <c r="AF86" i="2" s="1"/>
  <c r="AD88" i="2" s="1"/>
  <c r="AA86" i="2"/>
  <c r="AB86" i="2" s="1"/>
  <c r="Y86" i="2"/>
  <c r="Y88" i="2" s="1"/>
  <c r="Q86" i="2"/>
  <c r="Q88" i="2" s="1"/>
  <c r="N86" i="2"/>
  <c r="N88" i="2" s="1"/>
  <c r="L86" i="2"/>
  <c r="L88" i="2" s="1"/>
  <c r="I86" i="2"/>
  <c r="I88" i="2" s="1"/>
  <c r="H86" i="2"/>
  <c r="H88" i="2" s="1"/>
  <c r="AE82" i="2"/>
  <c r="L82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X80" i="2"/>
  <c r="W80" i="2"/>
  <c r="V80" i="2"/>
  <c r="U80" i="2"/>
  <c r="T80" i="2"/>
  <c r="S80" i="2"/>
  <c r="R80" i="2"/>
  <c r="P80" i="2"/>
  <c r="O80" i="2"/>
  <c r="M80" i="2"/>
  <c r="L80" i="2"/>
  <c r="K80" i="2"/>
  <c r="J80" i="2"/>
  <c r="G80" i="2"/>
  <c r="F80" i="2"/>
  <c r="E80" i="2"/>
  <c r="D80" i="2"/>
  <c r="C80" i="2"/>
  <c r="AD78" i="2"/>
  <c r="AF78" i="2" s="1"/>
  <c r="AD80" i="2" s="1"/>
  <c r="AA78" i="2"/>
  <c r="AB78" i="2" s="1"/>
  <c r="Y78" i="2"/>
  <c r="Y80" i="2" s="1"/>
  <c r="Q78" i="2"/>
  <c r="Q80" i="2" s="1"/>
  <c r="N78" i="2"/>
  <c r="N80" i="2" s="1"/>
  <c r="I78" i="2"/>
  <c r="I80" i="2" s="1"/>
  <c r="H78" i="2"/>
  <c r="H80" i="2" s="1"/>
  <c r="AE75" i="2"/>
  <c r="G75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X73" i="2"/>
  <c r="W73" i="2"/>
  <c r="V73" i="2"/>
  <c r="U73" i="2"/>
  <c r="T73" i="2"/>
  <c r="S73" i="2"/>
  <c r="R73" i="2"/>
  <c r="P73" i="2"/>
  <c r="O73" i="2"/>
  <c r="M73" i="2"/>
  <c r="K73" i="2"/>
  <c r="J73" i="2"/>
  <c r="G73" i="2"/>
  <c r="F73" i="2"/>
  <c r="E73" i="2"/>
  <c r="D73" i="2"/>
  <c r="C73" i="2"/>
  <c r="AD71" i="2"/>
  <c r="AF71" i="2" s="1"/>
  <c r="AD73" i="2" s="1"/>
  <c r="AA71" i="2"/>
  <c r="AB71" i="2" s="1"/>
  <c r="Y71" i="2"/>
  <c r="Y73" i="2" s="1"/>
  <c r="Q71" i="2"/>
  <c r="Q73" i="2" s="1"/>
  <c r="N71" i="2"/>
  <c r="N73" i="2" s="1"/>
  <c r="L71" i="2"/>
  <c r="L73" i="2" s="1"/>
  <c r="I71" i="2"/>
  <c r="I73" i="2" s="1"/>
  <c r="H71" i="2"/>
  <c r="AE67" i="2"/>
  <c r="M67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X65" i="2"/>
  <c r="W65" i="2"/>
  <c r="V65" i="2"/>
  <c r="U65" i="2"/>
  <c r="T65" i="2"/>
  <c r="S65" i="2"/>
  <c r="R65" i="2"/>
  <c r="P65" i="2"/>
  <c r="O65" i="2"/>
  <c r="M65" i="2"/>
  <c r="K65" i="2"/>
  <c r="J65" i="2"/>
  <c r="G65" i="2"/>
  <c r="F65" i="2"/>
  <c r="E65" i="2"/>
  <c r="D65" i="2"/>
  <c r="C65" i="2"/>
  <c r="AD63" i="2"/>
  <c r="AF63" i="2" s="1"/>
  <c r="AA63" i="2"/>
  <c r="AB63" i="2" s="1"/>
  <c r="Y63" i="2"/>
  <c r="Y65" i="2" s="1"/>
  <c r="Q63" i="2"/>
  <c r="Q65" i="2" s="1"/>
  <c r="N63" i="2"/>
  <c r="N65" i="2" s="1"/>
  <c r="L63" i="2"/>
  <c r="L65" i="2" s="1"/>
  <c r="L67" i="2" s="1"/>
  <c r="I63" i="2"/>
  <c r="I65" i="2" s="1"/>
  <c r="H63" i="2"/>
  <c r="H65" i="2" s="1"/>
  <c r="AE59" i="2"/>
  <c r="M59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X57" i="2"/>
  <c r="W57" i="2"/>
  <c r="V57" i="2"/>
  <c r="U57" i="2"/>
  <c r="T57" i="2"/>
  <c r="S57" i="2"/>
  <c r="R57" i="2"/>
  <c r="P57" i="2"/>
  <c r="O57" i="2"/>
  <c r="M57" i="2"/>
  <c r="K57" i="2"/>
  <c r="J57" i="2"/>
  <c r="G57" i="2"/>
  <c r="F57" i="2"/>
  <c r="E57" i="2"/>
  <c r="D57" i="2"/>
  <c r="C57" i="2"/>
  <c r="AD55" i="2"/>
  <c r="AF55" i="2" s="1"/>
  <c r="AA55" i="2"/>
  <c r="AB55" i="2" s="1"/>
  <c r="Y55" i="2"/>
  <c r="Y57" i="2" s="1"/>
  <c r="Q55" i="2"/>
  <c r="Q57" i="2" s="1"/>
  <c r="N55" i="2"/>
  <c r="N57" i="2" s="1"/>
  <c r="L55" i="2"/>
  <c r="L57" i="2" s="1"/>
  <c r="I55" i="2"/>
  <c r="I57" i="2" s="1"/>
  <c r="H55" i="2"/>
  <c r="AE52" i="2"/>
  <c r="D52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X50" i="2"/>
  <c r="W50" i="2"/>
  <c r="V50" i="2"/>
  <c r="U50" i="2"/>
  <c r="T50" i="2"/>
  <c r="S50" i="2"/>
  <c r="R50" i="2"/>
  <c r="P50" i="2"/>
  <c r="O50" i="2"/>
  <c r="M50" i="2"/>
  <c r="K50" i="2"/>
  <c r="J50" i="2"/>
  <c r="G50" i="2"/>
  <c r="F50" i="2"/>
  <c r="E50" i="2"/>
  <c r="D50" i="2"/>
  <c r="C50" i="2"/>
  <c r="AD48" i="2"/>
  <c r="AF48" i="2" s="1"/>
  <c r="AD50" i="2" s="1"/>
  <c r="AA48" i="2"/>
  <c r="AB48" i="2" s="1"/>
  <c r="Y48" i="2"/>
  <c r="Y50" i="2" s="1"/>
  <c r="Q48" i="2"/>
  <c r="Q50" i="2" s="1"/>
  <c r="N48" i="2"/>
  <c r="N50" i="2" s="1"/>
  <c r="L48" i="2"/>
  <c r="L50" i="2" s="1"/>
  <c r="I48" i="2"/>
  <c r="I50" i="2" s="1"/>
  <c r="H48" i="2"/>
  <c r="H50" i="2" s="1"/>
  <c r="AE46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X44" i="2"/>
  <c r="W44" i="2"/>
  <c r="V44" i="2"/>
  <c r="U44" i="2"/>
  <c r="T44" i="2"/>
  <c r="S44" i="2"/>
  <c r="R44" i="2"/>
  <c r="P44" i="2"/>
  <c r="O44" i="2"/>
  <c r="M44" i="2"/>
  <c r="K44" i="2"/>
  <c r="J44" i="2"/>
  <c r="G44" i="2"/>
  <c r="F44" i="2"/>
  <c r="E44" i="2"/>
  <c r="D44" i="2"/>
  <c r="C44" i="2"/>
  <c r="AF42" i="2"/>
  <c r="AD44" i="2" s="1"/>
  <c r="AA42" i="2"/>
  <c r="AB42" i="2" s="1"/>
  <c r="Y42" i="2"/>
  <c r="Y44" i="2" s="1"/>
  <c r="Q42" i="2"/>
  <c r="Q44" i="2" s="1"/>
  <c r="N42" i="2"/>
  <c r="N44" i="2" s="1"/>
  <c r="L42" i="2"/>
  <c r="L44" i="2" s="1"/>
  <c r="L46" i="2" s="1"/>
  <c r="I42" i="2"/>
  <c r="I44" i="2" s="1"/>
  <c r="H42" i="2"/>
  <c r="H44" i="2" s="1"/>
  <c r="AE39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X37" i="2"/>
  <c r="W37" i="2"/>
  <c r="V37" i="2"/>
  <c r="U37" i="2"/>
  <c r="T37" i="2"/>
  <c r="S37" i="2"/>
  <c r="R37" i="2"/>
  <c r="P37" i="2"/>
  <c r="O37" i="2"/>
  <c r="M37" i="2"/>
  <c r="K37" i="2"/>
  <c r="J37" i="2"/>
  <c r="G37" i="2"/>
  <c r="F37" i="2"/>
  <c r="E37" i="2"/>
  <c r="D37" i="2"/>
  <c r="C37" i="2"/>
  <c r="AF35" i="2"/>
  <c r="AD37" i="2" s="1"/>
  <c r="AA35" i="2"/>
  <c r="AB35" i="2" s="1"/>
  <c r="Y35" i="2"/>
  <c r="Y37" i="2" s="1"/>
  <c r="Q35" i="2"/>
  <c r="Q37" i="2" s="1"/>
  <c r="N35" i="2"/>
  <c r="N37" i="2" s="1"/>
  <c r="L35" i="2"/>
  <c r="L37" i="2" s="1"/>
  <c r="L39" i="2" s="1"/>
  <c r="I35" i="2"/>
  <c r="I37" i="2" s="1"/>
  <c r="H35" i="2"/>
  <c r="H37" i="2" s="1"/>
  <c r="AE32" i="2"/>
  <c r="L32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X30" i="2"/>
  <c r="W30" i="2"/>
  <c r="V30" i="2"/>
  <c r="U30" i="2"/>
  <c r="T30" i="2"/>
  <c r="S30" i="2"/>
  <c r="R30" i="2"/>
  <c r="P30" i="2"/>
  <c r="O30" i="2"/>
  <c r="M30" i="2"/>
  <c r="L30" i="2"/>
  <c r="K30" i="2"/>
  <c r="J30" i="2"/>
  <c r="G30" i="2"/>
  <c r="F30" i="2"/>
  <c r="E30" i="2"/>
  <c r="D30" i="2"/>
  <c r="C30" i="2"/>
  <c r="AD28" i="2"/>
  <c r="AF28" i="2" s="1"/>
  <c r="AD30" i="2" s="1"/>
  <c r="AA28" i="2"/>
  <c r="AB28" i="2" s="1"/>
  <c r="Y28" i="2"/>
  <c r="Y30" i="2" s="1"/>
  <c r="Q28" i="2"/>
  <c r="Q30" i="2" s="1"/>
  <c r="N28" i="2"/>
  <c r="N30" i="2" s="1"/>
  <c r="I28" i="2"/>
  <c r="I30" i="2" s="1"/>
  <c r="H28" i="2"/>
  <c r="H30" i="2" s="1"/>
  <c r="AE25" i="2"/>
  <c r="W25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X23" i="2"/>
  <c r="W23" i="2"/>
  <c r="V23" i="2"/>
  <c r="U23" i="2"/>
  <c r="T23" i="2"/>
  <c r="S23" i="2"/>
  <c r="R23" i="2"/>
  <c r="P23" i="2"/>
  <c r="O23" i="2"/>
  <c r="M23" i="2"/>
  <c r="K23" i="2"/>
  <c r="J23" i="2"/>
  <c r="G23" i="2"/>
  <c r="F23" i="2"/>
  <c r="E23" i="2"/>
  <c r="D23" i="2"/>
  <c r="C23" i="2"/>
  <c r="AD21" i="2"/>
  <c r="AF21" i="2" s="1"/>
  <c r="AA21" i="2"/>
  <c r="AB21" i="2" s="1"/>
  <c r="Y21" i="2"/>
  <c r="Y23" i="2" s="1"/>
  <c r="Q21" i="2"/>
  <c r="Q23" i="2" s="1"/>
  <c r="N21" i="2"/>
  <c r="N23" i="2" s="1"/>
  <c r="L21" i="2"/>
  <c r="L23" i="2" s="1"/>
  <c r="I21" i="2"/>
  <c r="I23" i="2" s="1"/>
  <c r="H21" i="2"/>
  <c r="AE17" i="2"/>
  <c r="W17" i="2"/>
  <c r="K17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X15" i="2"/>
  <c r="W15" i="2"/>
  <c r="V15" i="2"/>
  <c r="U15" i="2"/>
  <c r="T15" i="2"/>
  <c r="S15" i="2"/>
  <c r="R15" i="2"/>
  <c r="P15" i="2"/>
  <c r="O15" i="2"/>
  <c r="M15" i="2"/>
  <c r="K15" i="2"/>
  <c r="J15" i="2"/>
  <c r="G15" i="2"/>
  <c r="F15" i="2"/>
  <c r="E15" i="2"/>
  <c r="D15" i="2"/>
  <c r="C15" i="2"/>
  <c r="AF13" i="2"/>
  <c r="AD15" i="2" s="1"/>
  <c r="AA13" i="2"/>
  <c r="AB13" i="2" s="1"/>
  <c r="Y13" i="2"/>
  <c r="Y15" i="2" s="1"/>
  <c r="Q13" i="2"/>
  <c r="Q15" i="2" s="1"/>
  <c r="N13" i="2"/>
  <c r="N15" i="2" s="1"/>
  <c r="L13" i="2"/>
  <c r="L15" i="2" s="1"/>
  <c r="I13" i="2"/>
  <c r="I15" i="2" s="1"/>
  <c r="H13" i="2"/>
  <c r="AE10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X8" i="2"/>
  <c r="W8" i="2"/>
  <c r="V8" i="2"/>
  <c r="U8" i="2"/>
  <c r="T8" i="2"/>
  <c r="S8" i="2"/>
  <c r="R8" i="2"/>
  <c r="P8" i="2"/>
  <c r="O8" i="2"/>
  <c r="M8" i="2"/>
  <c r="K8" i="2"/>
  <c r="J8" i="2"/>
  <c r="G8" i="2"/>
  <c r="F8" i="2"/>
  <c r="E8" i="2"/>
  <c r="D8" i="2"/>
  <c r="C8" i="2"/>
  <c r="AD6" i="2"/>
  <c r="AF6" i="2" s="1"/>
  <c r="AD8" i="2" s="1"/>
  <c r="AA6" i="2"/>
  <c r="AB6" i="2" s="1"/>
  <c r="Y6" i="2"/>
  <c r="Y8" i="2" s="1"/>
  <c r="Q6" i="2"/>
  <c r="Q8" i="2" s="1"/>
  <c r="N6" i="2"/>
  <c r="N8" i="2" s="1"/>
  <c r="L6" i="2"/>
  <c r="L8" i="2" s="1"/>
  <c r="I6" i="2"/>
  <c r="I8" i="2" s="1"/>
  <c r="H6" i="2"/>
  <c r="H8" i="2" s="1"/>
  <c r="AH167" i="1"/>
  <c r="U167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AA165" i="1"/>
  <c r="Z165" i="1"/>
  <c r="X165" i="1"/>
  <c r="V165" i="1"/>
  <c r="U165" i="1"/>
  <c r="T165" i="1"/>
  <c r="S165" i="1"/>
  <c r="R165" i="1"/>
  <c r="Q165" i="1"/>
  <c r="P165" i="1"/>
  <c r="O165" i="1"/>
  <c r="M165" i="1"/>
  <c r="J165" i="1"/>
  <c r="I165" i="1"/>
  <c r="H165" i="1"/>
  <c r="E165" i="1"/>
  <c r="D165" i="1"/>
  <c r="C165" i="1"/>
  <c r="AG163" i="1"/>
  <c r="AI163" i="1" s="1"/>
  <c r="AG165" i="1" s="1"/>
  <c r="AD163" i="1"/>
  <c r="AE163" i="1" s="1"/>
  <c r="AB163" i="1"/>
  <c r="AB165" i="1" s="1"/>
  <c r="Y163" i="1"/>
  <c r="Y165" i="1" s="1"/>
  <c r="W163" i="1"/>
  <c r="W165" i="1" s="1"/>
  <c r="N163" i="1"/>
  <c r="N165" i="1" s="1"/>
  <c r="L163" i="1"/>
  <c r="L165" i="1" s="1"/>
  <c r="K163" i="1"/>
  <c r="K165" i="1" s="1"/>
  <c r="G163" i="1"/>
  <c r="G165" i="1" s="1"/>
  <c r="F163" i="1"/>
  <c r="F165" i="1" s="1"/>
  <c r="AH158" i="1"/>
  <c r="F158" i="1"/>
  <c r="AB157" i="1"/>
  <c r="AA157" i="1"/>
  <c r="Z157" i="1"/>
  <c r="Y157" i="1"/>
  <c r="X157" i="1"/>
  <c r="V157" i="1"/>
  <c r="U157" i="1"/>
  <c r="T157" i="1"/>
  <c r="R157" i="1"/>
  <c r="Q157" i="1"/>
  <c r="P157" i="1"/>
  <c r="O157" i="1"/>
  <c r="M157" i="1"/>
  <c r="K157" i="1"/>
  <c r="J157" i="1"/>
  <c r="I157" i="1"/>
  <c r="H157" i="1"/>
  <c r="G157" i="1"/>
  <c r="F157" i="1"/>
  <c r="E157" i="1"/>
  <c r="D157" i="1"/>
  <c r="C157" i="1"/>
  <c r="AA156" i="1"/>
  <c r="Z156" i="1"/>
  <c r="X156" i="1"/>
  <c r="V156" i="1"/>
  <c r="T156" i="1"/>
  <c r="S156" i="1"/>
  <c r="R156" i="1"/>
  <c r="Q156" i="1"/>
  <c r="P156" i="1"/>
  <c r="O156" i="1"/>
  <c r="M156" i="1"/>
  <c r="J156" i="1"/>
  <c r="I156" i="1"/>
  <c r="H156" i="1"/>
  <c r="F156" i="1"/>
  <c r="E156" i="1"/>
  <c r="D156" i="1"/>
  <c r="C156" i="1"/>
  <c r="AG154" i="1"/>
  <c r="AI154" i="1" s="1"/>
  <c r="AG156" i="1" s="1"/>
  <c r="AE154" i="1"/>
  <c r="AB154" i="1"/>
  <c r="AB156" i="1" s="1"/>
  <c r="Y154" i="1"/>
  <c r="Y156" i="1" s="1"/>
  <c r="W156" i="1"/>
  <c r="U154" i="1"/>
  <c r="U156" i="1" s="1"/>
  <c r="N156" i="1"/>
  <c r="L156" i="1"/>
  <c r="K154" i="1"/>
  <c r="K156" i="1" s="1"/>
  <c r="G154" i="1"/>
  <c r="G156" i="1" s="1"/>
  <c r="G158" i="1" s="1"/>
  <c r="AH150" i="1"/>
  <c r="Y150" i="1"/>
  <c r="Q150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AA148" i="1"/>
  <c r="Z148" i="1"/>
  <c r="Y148" i="1"/>
  <c r="X148" i="1"/>
  <c r="V148" i="1"/>
  <c r="T148" i="1"/>
  <c r="S148" i="1"/>
  <c r="R148" i="1"/>
  <c r="Q148" i="1"/>
  <c r="P148" i="1"/>
  <c r="O148" i="1"/>
  <c r="M148" i="1"/>
  <c r="J148" i="1"/>
  <c r="I148" i="1"/>
  <c r="H148" i="1"/>
  <c r="E148" i="1"/>
  <c r="D148" i="1"/>
  <c r="C148" i="1"/>
  <c r="AG146" i="1"/>
  <c r="AI146" i="1" s="1"/>
  <c r="AD146" i="1"/>
  <c r="AE146" i="1" s="1"/>
  <c r="AB146" i="1"/>
  <c r="AB148" i="1" s="1"/>
  <c r="W146" i="1"/>
  <c r="W148" i="1" s="1"/>
  <c r="U146" i="1"/>
  <c r="U148" i="1" s="1"/>
  <c r="N146" i="1"/>
  <c r="N148" i="1" s="1"/>
  <c r="L146" i="1"/>
  <c r="L148" i="1" s="1"/>
  <c r="K146" i="1"/>
  <c r="K148" i="1" s="1"/>
  <c r="G146" i="1"/>
  <c r="G148" i="1" s="1"/>
  <c r="F146" i="1"/>
  <c r="F148" i="1" s="1"/>
  <c r="AH142" i="1"/>
  <c r="AB142" i="1"/>
  <c r="K142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AB140" i="1"/>
  <c r="AA140" i="1"/>
  <c r="Z140" i="1"/>
  <c r="X140" i="1"/>
  <c r="V140" i="1"/>
  <c r="T140" i="1"/>
  <c r="S140" i="1"/>
  <c r="R140" i="1"/>
  <c r="Q140" i="1"/>
  <c r="P140" i="1"/>
  <c r="O140" i="1"/>
  <c r="M140" i="1"/>
  <c r="K140" i="1"/>
  <c r="J140" i="1"/>
  <c r="I140" i="1"/>
  <c r="H140" i="1"/>
  <c r="E140" i="1"/>
  <c r="D140" i="1"/>
  <c r="C140" i="1"/>
  <c r="AG138" i="1"/>
  <c r="AI138" i="1" s="1"/>
  <c r="AG140" i="1" s="1"/>
  <c r="AD138" i="1"/>
  <c r="AE138" i="1" s="1"/>
  <c r="Y138" i="1"/>
  <c r="Y140" i="1" s="1"/>
  <c r="W138" i="1"/>
  <c r="W140" i="1" s="1"/>
  <c r="U138" i="1"/>
  <c r="U140" i="1" s="1"/>
  <c r="N138" i="1"/>
  <c r="N140" i="1" s="1"/>
  <c r="L138" i="1"/>
  <c r="L140" i="1" s="1"/>
  <c r="G138" i="1"/>
  <c r="G140" i="1" s="1"/>
  <c r="F138" i="1"/>
  <c r="F140" i="1" s="1"/>
  <c r="AH127" i="1"/>
  <c r="X127" i="1"/>
  <c r="E127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J126" i="1"/>
  <c r="I126" i="1"/>
  <c r="H126" i="1"/>
  <c r="G126" i="1"/>
  <c r="E126" i="1"/>
  <c r="D126" i="1"/>
  <c r="C126" i="1"/>
  <c r="AA125" i="1"/>
  <c r="Z125" i="1"/>
  <c r="X125" i="1"/>
  <c r="V125" i="1"/>
  <c r="T125" i="1"/>
  <c r="S125" i="1"/>
  <c r="R125" i="1"/>
  <c r="Q125" i="1"/>
  <c r="P125" i="1"/>
  <c r="O125" i="1"/>
  <c r="M125" i="1"/>
  <c r="J125" i="1"/>
  <c r="I125" i="1"/>
  <c r="H125" i="1"/>
  <c r="E125" i="1"/>
  <c r="D125" i="1"/>
  <c r="C125" i="1"/>
  <c r="AG123" i="1"/>
  <c r="AI123" i="1" s="1"/>
  <c r="AE123" i="1"/>
  <c r="AB123" i="1"/>
  <c r="AB125" i="1" s="1"/>
  <c r="Y123" i="1"/>
  <c r="Y125" i="1" s="1"/>
  <c r="W123" i="1"/>
  <c r="W125" i="1" s="1"/>
  <c r="U123" i="1"/>
  <c r="U125" i="1" s="1"/>
  <c r="N123" i="1"/>
  <c r="N125" i="1" s="1"/>
  <c r="L125" i="1"/>
  <c r="G123" i="1"/>
  <c r="G125" i="1" s="1"/>
  <c r="AH119" i="1"/>
  <c r="O119" i="1"/>
  <c r="J119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AA117" i="1"/>
  <c r="Z117" i="1"/>
  <c r="X117" i="1"/>
  <c r="V117" i="1"/>
  <c r="T117" i="1"/>
  <c r="S117" i="1"/>
  <c r="R117" i="1"/>
  <c r="Q117" i="1"/>
  <c r="P117" i="1"/>
  <c r="O117" i="1"/>
  <c r="M117" i="1"/>
  <c r="J117" i="1"/>
  <c r="I117" i="1"/>
  <c r="H117" i="1"/>
  <c r="E117" i="1"/>
  <c r="D117" i="1"/>
  <c r="C117" i="1"/>
  <c r="AG115" i="1"/>
  <c r="AI115" i="1" s="1"/>
  <c r="AD115" i="1"/>
  <c r="AE115" i="1" s="1"/>
  <c r="AB115" i="1"/>
  <c r="AB117" i="1" s="1"/>
  <c r="Y115" i="1"/>
  <c r="Y117" i="1" s="1"/>
  <c r="W115" i="1"/>
  <c r="W117" i="1" s="1"/>
  <c r="U115" i="1"/>
  <c r="U117" i="1" s="1"/>
  <c r="N115" i="1"/>
  <c r="N117" i="1" s="1"/>
  <c r="L115" i="1"/>
  <c r="L117" i="1" s="1"/>
  <c r="K115" i="1"/>
  <c r="K117" i="1" s="1"/>
  <c r="G115" i="1"/>
  <c r="G117" i="1" s="1"/>
  <c r="F115" i="1"/>
  <c r="F117" i="1" s="1"/>
  <c r="AH111" i="1"/>
  <c r="T111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F110" i="1"/>
  <c r="E110" i="1"/>
  <c r="D110" i="1"/>
  <c r="C110" i="1"/>
  <c r="AA109" i="1"/>
  <c r="Z109" i="1"/>
  <c r="X109" i="1"/>
  <c r="V109" i="1"/>
  <c r="T109" i="1"/>
  <c r="S109" i="1"/>
  <c r="R109" i="1"/>
  <c r="Q109" i="1"/>
  <c r="P109" i="1"/>
  <c r="O109" i="1"/>
  <c r="M109" i="1"/>
  <c r="J109" i="1"/>
  <c r="I109" i="1"/>
  <c r="H109" i="1"/>
  <c r="E109" i="1"/>
  <c r="D109" i="1"/>
  <c r="C109" i="1"/>
  <c r="AG107" i="1"/>
  <c r="AI107" i="1" s="1"/>
  <c r="AG109" i="1" s="1"/>
  <c r="AE107" i="1"/>
  <c r="AB107" i="1"/>
  <c r="AB109" i="1" s="1"/>
  <c r="Y107" i="1"/>
  <c r="Y109" i="1" s="1"/>
  <c r="W107" i="1"/>
  <c r="W109" i="1" s="1"/>
  <c r="U107" i="1"/>
  <c r="U109" i="1" s="1"/>
  <c r="N107" i="1"/>
  <c r="N109" i="1" s="1"/>
  <c r="L107" i="1"/>
  <c r="L109" i="1" s="1"/>
  <c r="K107" i="1"/>
  <c r="K109" i="1" s="1"/>
  <c r="G109" i="1"/>
  <c r="F107" i="1"/>
  <c r="F109" i="1" s="1"/>
  <c r="AH103" i="1"/>
  <c r="W103" i="1"/>
  <c r="C103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AA101" i="1"/>
  <c r="Z101" i="1"/>
  <c r="X101" i="1"/>
  <c r="W101" i="1"/>
  <c r="V101" i="1"/>
  <c r="T101" i="1"/>
  <c r="S101" i="1"/>
  <c r="R101" i="1"/>
  <c r="Q101" i="1"/>
  <c r="P101" i="1"/>
  <c r="O101" i="1"/>
  <c r="M101" i="1"/>
  <c r="J101" i="1"/>
  <c r="I101" i="1"/>
  <c r="H101" i="1"/>
  <c r="E101" i="1"/>
  <c r="D101" i="1"/>
  <c r="C101" i="1"/>
  <c r="AG99" i="1"/>
  <c r="AI99" i="1" s="1"/>
  <c r="AD99" i="1"/>
  <c r="AE99" i="1" s="1"/>
  <c r="AB99" i="1"/>
  <c r="AB101" i="1" s="1"/>
  <c r="Y99" i="1"/>
  <c r="Y101" i="1" s="1"/>
  <c r="U99" i="1"/>
  <c r="U101" i="1" s="1"/>
  <c r="N99" i="1"/>
  <c r="N101" i="1" s="1"/>
  <c r="L99" i="1"/>
  <c r="L101" i="1" s="1"/>
  <c r="K99" i="1"/>
  <c r="K101" i="1" s="1"/>
  <c r="G99" i="1"/>
  <c r="G101" i="1" s="1"/>
  <c r="F99" i="1"/>
  <c r="F101" i="1" s="1"/>
  <c r="AH90" i="1"/>
  <c r="AB89" i="1"/>
  <c r="AA89" i="1"/>
  <c r="Z89" i="1"/>
  <c r="Y89" i="1"/>
  <c r="X89" i="1"/>
  <c r="W89" i="1"/>
  <c r="V89" i="1"/>
  <c r="U89" i="1"/>
  <c r="AA88" i="1"/>
  <c r="Z88" i="1"/>
  <c r="X88" i="1"/>
  <c r="V88" i="1"/>
  <c r="T88" i="1"/>
  <c r="S88" i="1"/>
  <c r="R88" i="1"/>
  <c r="Q88" i="1"/>
  <c r="P88" i="1"/>
  <c r="O88" i="1"/>
  <c r="M88" i="1"/>
  <c r="J88" i="1"/>
  <c r="I88" i="1"/>
  <c r="H88" i="1"/>
  <c r="E88" i="1"/>
  <c r="D88" i="1"/>
  <c r="C88" i="1"/>
  <c r="AG86" i="1"/>
  <c r="AI86" i="1" s="1"/>
  <c r="AE86" i="1"/>
  <c r="AB86" i="1"/>
  <c r="AB88" i="1" s="1"/>
  <c r="Y86" i="1"/>
  <c r="Y88" i="1" s="1"/>
  <c r="W86" i="1"/>
  <c r="W88" i="1" s="1"/>
  <c r="U86" i="1"/>
  <c r="U88" i="1" s="1"/>
  <c r="N88" i="1"/>
  <c r="L88" i="1"/>
  <c r="K88" i="1"/>
  <c r="G88" i="1"/>
  <c r="F88" i="1"/>
  <c r="AH82" i="1"/>
  <c r="AA82" i="1"/>
  <c r="V82" i="1"/>
  <c r="P82" i="1"/>
  <c r="E82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AA80" i="1"/>
  <c r="Z80" i="1"/>
  <c r="X80" i="1"/>
  <c r="X82" i="1" s="1"/>
  <c r="V80" i="1"/>
  <c r="T80" i="1"/>
  <c r="S80" i="1"/>
  <c r="R80" i="1"/>
  <c r="Q80" i="1"/>
  <c r="P80" i="1"/>
  <c r="O80" i="1"/>
  <c r="M80" i="1"/>
  <c r="J80" i="1"/>
  <c r="I80" i="1"/>
  <c r="H80" i="1"/>
  <c r="E80" i="1"/>
  <c r="D80" i="1"/>
  <c r="C80" i="1"/>
  <c r="AG78" i="1"/>
  <c r="AI78" i="1" s="1"/>
  <c r="AG80" i="1" s="1"/>
  <c r="AD78" i="1"/>
  <c r="AE78" i="1" s="1"/>
  <c r="AB78" i="1"/>
  <c r="AB80" i="1" s="1"/>
  <c r="Y78" i="1"/>
  <c r="Y80" i="1" s="1"/>
  <c r="W78" i="1"/>
  <c r="W80" i="1" s="1"/>
  <c r="U78" i="1"/>
  <c r="U80" i="1" s="1"/>
  <c r="N78" i="1"/>
  <c r="N80" i="1" s="1"/>
  <c r="L78" i="1"/>
  <c r="L80" i="1" s="1"/>
  <c r="K78" i="1"/>
  <c r="K80" i="1" s="1"/>
  <c r="G78" i="1"/>
  <c r="G80" i="1" s="1"/>
  <c r="F78" i="1"/>
  <c r="F80" i="1" s="1"/>
  <c r="AH74" i="1"/>
  <c r="AB74" i="1"/>
  <c r="U74" i="1"/>
  <c r="S74" i="1"/>
  <c r="D74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AB72" i="1"/>
  <c r="AA72" i="1"/>
  <c r="Z72" i="1"/>
  <c r="X72" i="1"/>
  <c r="V72" i="1"/>
  <c r="U72" i="1"/>
  <c r="T72" i="1"/>
  <c r="S72" i="1"/>
  <c r="R72" i="1"/>
  <c r="Q72" i="1"/>
  <c r="P72" i="1"/>
  <c r="O72" i="1"/>
  <c r="O74" i="1" s="1"/>
  <c r="M72" i="1"/>
  <c r="J72" i="1"/>
  <c r="I72" i="1"/>
  <c r="H72" i="1"/>
  <c r="E72" i="1"/>
  <c r="D72" i="1"/>
  <c r="C72" i="1"/>
  <c r="AG70" i="1"/>
  <c r="AI70" i="1" s="1"/>
  <c r="AD70" i="1"/>
  <c r="AE70" i="1" s="1"/>
  <c r="Y70" i="1"/>
  <c r="Y72" i="1" s="1"/>
  <c r="W70" i="1"/>
  <c r="W72" i="1" s="1"/>
  <c r="N70" i="1"/>
  <c r="N72" i="1" s="1"/>
  <c r="L70" i="1"/>
  <c r="L72" i="1" s="1"/>
  <c r="K70" i="1"/>
  <c r="K72" i="1" s="1"/>
  <c r="G70" i="1"/>
  <c r="G72" i="1" s="1"/>
  <c r="F70" i="1"/>
  <c r="F72" i="1" s="1"/>
  <c r="AH59" i="1"/>
  <c r="C59" i="1"/>
  <c r="AB58" i="1"/>
  <c r="AA58" i="1"/>
  <c r="Z58" i="1"/>
  <c r="Y58" i="1"/>
  <c r="X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A57" i="1"/>
  <c r="Z57" i="1"/>
  <c r="X57" i="1"/>
  <c r="V57" i="1"/>
  <c r="T57" i="1"/>
  <c r="S57" i="1"/>
  <c r="R57" i="1"/>
  <c r="Q57" i="1"/>
  <c r="P57" i="1"/>
  <c r="O57" i="1"/>
  <c r="M57" i="1"/>
  <c r="J57" i="1"/>
  <c r="I57" i="1"/>
  <c r="H57" i="1"/>
  <c r="E57" i="1"/>
  <c r="D57" i="1"/>
  <c r="C57" i="1"/>
  <c r="AG55" i="1"/>
  <c r="AI55" i="1" s="1"/>
  <c r="AE55" i="1"/>
  <c r="AB55" i="1"/>
  <c r="AB57" i="1" s="1"/>
  <c r="Y55" i="1"/>
  <c r="Y57" i="1" s="1"/>
  <c r="W57" i="1"/>
  <c r="U55" i="1"/>
  <c r="U57" i="1" s="1"/>
  <c r="N55" i="1"/>
  <c r="N57" i="1" s="1"/>
  <c r="L55" i="1"/>
  <c r="L57" i="1" s="1"/>
  <c r="K55" i="1"/>
  <c r="K57" i="1" s="1"/>
  <c r="G55" i="1"/>
  <c r="G57" i="1" s="1"/>
  <c r="F55" i="1"/>
  <c r="F57" i="1" s="1"/>
  <c r="AH53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A51" i="1"/>
  <c r="Z51" i="1"/>
  <c r="X51" i="1"/>
  <c r="V51" i="1"/>
  <c r="T51" i="1"/>
  <c r="S51" i="1"/>
  <c r="R51" i="1"/>
  <c r="Q51" i="1"/>
  <c r="P51" i="1"/>
  <c r="O51" i="1"/>
  <c r="M51" i="1"/>
  <c r="J51" i="1"/>
  <c r="I51" i="1"/>
  <c r="H51" i="1"/>
  <c r="E51" i="1"/>
  <c r="D51" i="1"/>
  <c r="C51" i="1"/>
  <c r="AG49" i="1"/>
  <c r="AI49" i="1" s="1"/>
  <c r="AG51" i="1" s="1"/>
  <c r="AD49" i="1"/>
  <c r="AE49" i="1" s="1"/>
  <c r="AB49" i="1"/>
  <c r="AB51" i="1" s="1"/>
  <c r="Y49" i="1"/>
  <c r="Y51" i="1" s="1"/>
  <c r="W49" i="1"/>
  <c r="W51" i="1" s="1"/>
  <c r="U49" i="1"/>
  <c r="U51" i="1" s="1"/>
  <c r="N49" i="1"/>
  <c r="N51" i="1" s="1"/>
  <c r="L49" i="1"/>
  <c r="L51" i="1" s="1"/>
  <c r="K49" i="1"/>
  <c r="K51" i="1" s="1"/>
  <c r="G49" i="1"/>
  <c r="G51" i="1" s="1"/>
  <c r="F49" i="1"/>
  <c r="F51" i="1" s="1"/>
  <c r="AH46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A44" i="1"/>
  <c r="Z44" i="1"/>
  <c r="X44" i="1"/>
  <c r="V44" i="1"/>
  <c r="T44" i="1"/>
  <c r="S44" i="1"/>
  <c r="R44" i="1"/>
  <c r="Q44" i="1"/>
  <c r="P44" i="1"/>
  <c r="O44" i="1"/>
  <c r="M44" i="1"/>
  <c r="J44" i="1"/>
  <c r="I44" i="1"/>
  <c r="H44" i="1"/>
  <c r="E44" i="1"/>
  <c r="D44" i="1"/>
  <c r="C44" i="1"/>
  <c r="AG42" i="1"/>
  <c r="AI42" i="1" s="1"/>
  <c r="AD42" i="1"/>
  <c r="AE42" i="1" s="1"/>
  <c r="AB42" i="1"/>
  <c r="AB44" i="1" s="1"/>
  <c r="Y42" i="1"/>
  <c r="Y44" i="1" s="1"/>
  <c r="W42" i="1"/>
  <c r="W44" i="1" s="1"/>
  <c r="U42" i="1"/>
  <c r="U44" i="1" s="1"/>
  <c r="N42" i="1"/>
  <c r="N44" i="1" s="1"/>
  <c r="L42" i="1"/>
  <c r="L44" i="1" s="1"/>
  <c r="K42" i="1"/>
  <c r="K44" i="1" s="1"/>
  <c r="G42" i="1"/>
  <c r="F42" i="1"/>
  <c r="F44" i="1" s="1"/>
  <c r="AH39" i="1"/>
  <c r="F39" i="1"/>
  <c r="AB38" i="1"/>
  <c r="AA38" i="1"/>
  <c r="Z38" i="1"/>
  <c r="Y38" i="1"/>
  <c r="X38" i="1"/>
  <c r="W38" i="1"/>
  <c r="V38" i="1"/>
  <c r="U38" i="1"/>
  <c r="T38" i="1"/>
  <c r="S38" i="1"/>
  <c r="P38" i="1"/>
  <c r="O38" i="1"/>
  <c r="K38" i="1"/>
  <c r="J38" i="1"/>
  <c r="I38" i="1"/>
  <c r="H38" i="1"/>
  <c r="G38" i="1"/>
  <c r="F38" i="1"/>
  <c r="E38" i="1"/>
  <c r="D38" i="1"/>
  <c r="C38" i="1"/>
  <c r="AA37" i="1"/>
  <c r="Z37" i="1"/>
  <c r="X37" i="1"/>
  <c r="V37" i="1"/>
  <c r="T37" i="1"/>
  <c r="S37" i="1"/>
  <c r="R37" i="1"/>
  <c r="Q37" i="1"/>
  <c r="P37" i="1"/>
  <c r="O37" i="1"/>
  <c r="M37" i="1"/>
  <c r="J37" i="1"/>
  <c r="I37" i="1"/>
  <c r="H37" i="1"/>
  <c r="F37" i="1"/>
  <c r="E37" i="1"/>
  <c r="D37" i="1"/>
  <c r="C37" i="1"/>
  <c r="AG35" i="1"/>
  <c r="AI35" i="1" s="1"/>
  <c r="AE35" i="1"/>
  <c r="AB35" i="1"/>
  <c r="AB37" i="1" s="1"/>
  <c r="Y35" i="1"/>
  <c r="Y37" i="1" s="1"/>
  <c r="W35" i="1"/>
  <c r="W37" i="1" s="1"/>
  <c r="U35" i="1"/>
  <c r="U37" i="1" s="1"/>
  <c r="N37" i="1"/>
  <c r="L37" i="1"/>
  <c r="K35" i="1"/>
  <c r="K37" i="1" s="1"/>
  <c r="G35" i="1"/>
  <c r="G37" i="1" s="1"/>
  <c r="AH32" i="1"/>
  <c r="Z32" i="1"/>
  <c r="I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M31" i="1"/>
  <c r="L31" i="1"/>
  <c r="K31" i="1"/>
  <c r="J31" i="1"/>
  <c r="I31" i="1"/>
  <c r="H31" i="1"/>
  <c r="G31" i="1"/>
  <c r="F31" i="1"/>
  <c r="E31" i="1"/>
  <c r="D31" i="1"/>
  <c r="C31" i="1"/>
  <c r="AA30" i="1"/>
  <c r="Z30" i="1"/>
  <c r="X30" i="1"/>
  <c r="V30" i="1"/>
  <c r="T30" i="1"/>
  <c r="S30" i="1"/>
  <c r="R30" i="1"/>
  <c r="Q30" i="1"/>
  <c r="P30" i="1"/>
  <c r="O30" i="1"/>
  <c r="M30" i="1"/>
  <c r="J30" i="1"/>
  <c r="I30" i="1"/>
  <c r="H30" i="1"/>
  <c r="E30" i="1"/>
  <c r="D30" i="1"/>
  <c r="C30" i="1"/>
  <c r="AG28" i="1"/>
  <c r="AI28" i="1" s="1"/>
  <c r="AG30" i="1" s="1"/>
  <c r="AE28" i="1"/>
  <c r="AB28" i="1"/>
  <c r="AB30" i="1" s="1"/>
  <c r="Y28" i="1"/>
  <c r="Y30" i="1" s="1"/>
  <c r="W28" i="1"/>
  <c r="W30" i="1" s="1"/>
  <c r="U28" i="1"/>
  <c r="U30" i="1" s="1"/>
  <c r="N30" i="1"/>
  <c r="L28" i="1"/>
  <c r="L30" i="1" s="1"/>
  <c r="K28" i="1"/>
  <c r="K30" i="1" s="1"/>
  <c r="G28" i="1"/>
  <c r="G30" i="1" s="1"/>
  <c r="F28" i="1"/>
  <c r="F30" i="1" s="1"/>
  <c r="AH24" i="1"/>
  <c r="O24" i="1"/>
  <c r="C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A22" i="1"/>
  <c r="Z22" i="1"/>
  <c r="X22" i="1"/>
  <c r="V22" i="1"/>
  <c r="T22" i="1"/>
  <c r="S22" i="1"/>
  <c r="R22" i="1"/>
  <c r="Q22" i="1"/>
  <c r="P22" i="1"/>
  <c r="O22" i="1"/>
  <c r="M22" i="1"/>
  <c r="J22" i="1"/>
  <c r="I22" i="1"/>
  <c r="H22" i="1"/>
  <c r="E22" i="1"/>
  <c r="D22" i="1"/>
  <c r="C22" i="1"/>
  <c r="AG20" i="1"/>
  <c r="AI20" i="1" s="1"/>
  <c r="AD20" i="1"/>
  <c r="AE20" i="1" s="1"/>
  <c r="AB20" i="1"/>
  <c r="AB22" i="1" s="1"/>
  <c r="Y20" i="1"/>
  <c r="Y22" i="1" s="1"/>
  <c r="W20" i="1"/>
  <c r="W22" i="1" s="1"/>
  <c r="U20" i="1"/>
  <c r="U22" i="1" s="1"/>
  <c r="N20" i="1"/>
  <c r="N22" i="1" s="1"/>
  <c r="L20" i="1"/>
  <c r="L22" i="1" s="1"/>
  <c r="K20" i="1"/>
  <c r="K22" i="1" s="1"/>
  <c r="G20" i="1"/>
  <c r="G22" i="1" s="1"/>
  <c r="F20" i="1"/>
  <c r="F22" i="1" s="1"/>
  <c r="AH17" i="1"/>
  <c r="AB17" i="1"/>
  <c r="R17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5" i="1"/>
  <c r="AA15" i="1"/>
  <c r="Z15" i="1"/>
  <c r="X15" i="1"/>
  <c r="V15" i="1"/>
  <c r="T15" i="1"/>
  <c r="S15" i="1"/>
  <c r="R15" i="1"/>
  <c r="Q15" i="1"/>
  <c r="P15" i="1"/>
  <c r="O15" i="1"/>
  <c r="M15" i="1"/>
  <c r="J15" i="1"/>
  <c r="I15" i="1"/>
  <c r="H15" i="1"/>
  <c r="E15" i="1"/>
  <c r="D15" i="1"/>
  <c r="C15" i="1"/>
  <c r="AG13" i="1"/>
  <c r="AI13" i="1" s="1"/>
  <c r="AG15" i="1" s="1"/>
  <c r="AD13" i="1"/>
  <c r="AE13" i="1" s="1"/>
  <c r="Y13" i="1"/>
  <c r="Y15" i="1" s="1"/>
  <c r="W13" i="1"/>
  <c r="W15" i="1" s="1"/>
  <c r="U13" i="1"/>
  <c r="U15" i="1" s="1"/>
  <c r="N13" i="1"/>
  <c r="N15" i="1" s="1"/>
  <c r="L13" i="1"/>
  <c r="L15" i="1" s="1"/>
  <c r="K13" i="1"/>
  <c r="K15" i="1" s="1"/>
  <c r="G13" i="1"/>
  <c r="G15" i="1" s="1"/>
  <c r="F13" i="1"/>
  <c r="L17" i="2" l="1"/>
  <c r="AC97" i="1"/>
  <c r="AG96" i="1" s="1"/>
  <c r="AC67" i="1"/>
  <c r="AG66" i="1" s="1"/>
  <c r="AJ5" i="1"/>
  <c r="AL5" i="1" s="1"/>
  <c r="R74" i="1"/>
  <c r="AC135" i="1"/>
  <c r="AG134" i="1" s="1"/>
  <c r="AC133" i="1"/>
  <c r="X24" i="1"/>
  <c r="Q74" i="1"/>
  <c r="P74" i="1"/>
  <c r="X119" i="1"/>
  <c r="X90" i="1"/>
  <c r="T74" i="1"/>
  <c r="V74" i="1"/>
  <c r="X39" i="1"/>
  <c r="AC177" i="1"/>
  <c r="AG176" i="1" s="1"/>
  <c r="N139" i="2"/>
  <c r="AD13" i="4"/>
  <c r="AF13" i="4" s="1"/>
  <c r="AH13" i="4" s="1"/>
  <c r="AJ13" i="4" s="1"/>
  <c r="C111" i="1"/>
  <c r="AA111" i="1"/>
  <c r="S111" i="1"/>
  <c r="H52" i="2"/>
  <c r="R75" i="2"/>
  <c r="H82" i="2"/>
  <c r="W158" i="1"/>
  <c r="K111" i="1"/>
  <c r="S167" i="1"/>
  <c r="T39" i="1"/>
  <c r="P111" i="1"/>
  <c r="P139" i="2"/>
  <c r="G119" i="1"/>
  <c r="S46" i="1"/>
  <c r="M74" i="1"/>
  <c r="P103" i="1"/>
  <c r="X111" i="1"/>
  <c r="X139" i="2"/>
  <c r="K46" i="1"/>
  <c r="C46" i="1"/>
  <c r="AA46" i="1"/>
  <c r="N53" i="1"/>
  <c r="W142" i="1"/>
  <c r="Z103" i="1"/>
  <c r="S82" i="2"/>
  <c r="W139" i="2"/>
  <c r="AC9" i="1"/>
  <c r="AG8" i="1" s="1"/>
  <c r="M114" i="2"/>
  <c r="O139" i="2"/>
  <c r="Q130" i="2"/>
  <c r="AB82" i="1"/>
  <c r="Y130" i="2"/>
  <c r="D24" i="1"/>
  <c r="Z46" i="1"/>
  <c r="AA53" i="1"/>
  <c r="U127" i="1"/>
  <c r="Z158" i="1"/>
  <c r="P167" i="1"/>
  <c r="E75" i="2"/>
  <c r="N106" i="2"/>
  <c r="F106" i="2"/>
  <c r="G139" i="2"/>
  <c r="AD86" i="4"/>
  <c r="AF86" i="4" s="1"/>
  <c r="AH86" i="4" s="1"/>
  <c r="AJ86" i="4" s="1"/>
  <c r="Q122" i="2"/>
  <c r="L24" i="1"/>
  <c r="U90" i="1"/>
  <c r="I10" i="2"/>
  <c r="H114" i="2"/>
  <c r="F90" i="1"/>
  <c r="G103" i="1"/>
  <c r="V111" i="1"/>
  <c r="F119" i="1"/>
  <c r="I52" i="2"/>
  <c r="W59" i="2"/>
  <c r="J98" i="2"/>
  <c r="Q167" i="1"/>
  <c r="T24" i="1"/>
  <c r="R158" i="1"/>
  <c r="Y39" i="2"/>
  <c r="J59" i="2"/>
  <c r="H90" i="2"/>
  <c r="U106" i="2"/>
  <c r="AB24" i="1"/>
  <c r="Y167" i="1"/>
  <c r="Y46" i="2"/>
  <c r="J75" i="2"/>
  <c r="M98" i="2"/>
  <c r="I82" i="1"/>
  <c r="N111" i="1"/>
  <c r="N119" i="1"/>
  <c r="L142" i="1"/>
  <c r="N59" i="2"/>
  <c r="F59" i="2"/>
  <c r="AD21" i="4"/>
  <c r="AF21" i="4" s="1"/>
  <c r="AH21" i="4" s="1"/>
  <c r="AJ21" i="4" s="1"/>
  <c r="W53" i="1"/>
  <c r="F24" i="1"/>
  <c r="X74" i="1"/>
  <c r="Z119" i="1"/>
  <c r="G17" i="2"/>
  <c r="Q17" i="1"/>
  <c r="G32" i="1"/>
  <c r="F46" i="1"/>
  <c r="V46" i="1"/>
  <c r="G53" i="1"/>
  <c r="S103" i="1"/>
  <c r="J158" i="1"/>
  <c r="P59" i="1"/>
  <c r="R119" i="1"/>
  <c r="M158" i="1"/>
  <c r="X39" i="2"/>
  <c r="H74" i="1"/>
  <c r="I17" i="1"/>
  <c r="L167" i="1"/>
  <c r="Y17" i="1"/>
  <c r="N46" i="1"/>
  <c r="W32" i="1"/>
  <c r="W150" i="1"/>
  <c r="AE74" i="4"/>
  <c r="Z59" i="1"/>
  <c r="AA127" i="1"/>
  <c r="W39" i="2"/>
  <c r="T59" i="2"/>
  <c r="AD110" i="4"/>
  <c r="AF110" i="4" s="1"/>
  <c r="AH110" i="4" s="1"/>
  <c r="AJ110" i="4" s="1"/>
  <c r="T17" i="1"/>
  <c r="G82" i="1"/>
  <c r="R142" i="1"/>
  <c r="R32" i="1"/>
  <c r="P46" i="1"/>
  <c r="R59" i="1"/>
  <c r="S127" i="1"/>
  <c r="P158" i="1"/>
  <c r="Y32" i="2"/>
  <c r="J32" i="2"/>
  <c r="F46" i="2"/>
  <c r="I39" i="1"/>
  <c r="J106" i="2"/>
  <c r="I46" i="2"/>
  <c r="G127" i="1"/>
  <c r="F82" i="1"/>
  <c r="T103" i="1"/>
  <c r="M32" i="2"/>
  <c r="R24" i="1"/>
  <c r="P39" i="1"/>
  <c r="O46" i="1"/>
  <c r="P53" i="1"/>
  <c r="N74" i="1"/>
  <c r="H90" i="1"/>
  <c r="AB103" i="1"/>
  <c r="E111" i="1"/>
  <c r="L127" i="1"/>
  <c r="C127" i="1"/>
  <c r="P127" i="1"/>
  <c r="Z127" i="1"/>
  <c r="G142" i="1"/>
  <c r="Z142" i="1"/>
  <c r="F150" i="1"/>
  <c r="AB167" i="1"/>
  <c r="R25" i="2"/>
  <c r="X32" i="2"/>
  <c r="G39" i="2"/>
  <c r="R52" i="2"/>
  <c r="C59" i="2"/>
  <c r="U67" i="2"/>
  <c r="E106" i="2"/>
  <c r="R106" i="2"/>
  <c r="T106" i="2"/>
  <c r="S139" i="2"/>
  <c r="AE66" i="4"/>
  <c r="I74" i="1"/>
  <c r="D127" i="1"/>
  <c r="AA142" i="1"/>
  <c r="P32" i="2"/>
  <c r="T46" i="2"/>
  <c r="AC13" i="1"/>
  <c r="AF13" i="1" s="1"/>
  <c r="AH13" i="1" s="1"/>
  <c r="AJ13" i="1" s="1"/>
  <c r="AL13" i="1" s="1"/>
  <c r="X17" i="1"/>
  <c r="V90" i="1"/>
  <c r="O103" i="1"/>
  <c r="C10" i="2"/>
  <c r="H39" i="2"/>
  <c r="W46" i="2"/>
  <c r="D90" i="2"/>
  <c r="J52" i="2"/>
  <c r="K139" i="2"/>
  <c r="AD63" i="4"/>
  <c r="AF63" i="4" s="1"/>
  <c r="AH63" i="4" s="1"/>
  <c r="AJ63" i="4" s="1"/>
  <c r="F32" i="1"/>
  <c r="K90" i="1"/>
  <c r="Q103" i="1"/>
  <c r="K25" i="2"/>
  <c r="C130" i="2"/>
  <c r="W46" i="1"/>
  <c r="H53" i="1"/>
  <c r="Z24" i="1"/>
  <c r="R103" i="1"/>
  <c r="O111" i="1"/>
  <c r="AB127" i="1"/>
  <c r="J127" i="1"/>
  <c r="T142" i="1"/>
  <c r="U150" i="1"/>
  <c r="H150" i="1"/>
  <c r="S150" i="1"/>
  <c r="D150" i="1"/>
  <c r="U158" i="1"/>
  <c r="E17" i="2"/>
  <c r="M25" i="2"/>
  <c r="E67" i="2"/>
  <c r="V82" i="2"/>
  <c r="E90" i="2"/>
  <c r="I98" i="2"/>
  <c r="S98" i="2"/>
  <c r="Y90" i="2"/>
  <c r="T90" i="2"/>
  <c r="E98" i="2"/>
  <c r="D59" i="1"/>
  <c r="V127" i="1"/>
  <c r="T150" i="1"/>
  <c r="I59" i="2"/>
  <c r="H106" i="2"/>
  <c r="W114" i="2"/>
  <c r="P17" i="1"/>
  <c r="V24" i="1"/>
  <c r="Y32" i="1"/>
  <c r="T32" i="1"/>
  <c r="R39" i="1"/>
  <c r="U46" i="1"/>
  <c r="E46" i="1"/>
  <c r="R53" i="1"/>
  <c r="W59" i="1"/>
  <c r="S59" i="1"/>
  <c r="Y74" i="1"/>
  <c r="Z82" i="1"/>
  <c r="V103" i="1"/>
  <c r="U111" i="1"/>
  <c r="Q111" i="1"/>
  <c r="J150" i="1"/>
  <c r="Y158" i="1"/>
  <c r="T10" i="2"/>
  <c r="N17" i="2"/>
  <c r="S17" i="2"/>
  <c r="U17" i="2"/>
  <c r="C25" i="2"/>
  <c r="Q39" i="2"/>
  <c r="E59" i="2"/>
  <c r="W67" i="2"/>
  <c r="N82" i="2"/>
  <c r="F82" i="2"/>
  <c r="V90" i="2"/>
  <c r="X90" i="2"/>
  <c r="I106" i="2"/>
  <c r="C106" i="2"/>
  <c r="X106" i="2"/>
  <c r="O114" i="2"/>
  <c r="Y122" i="2"/>
  <c r="F130" i="2"/>
  <c r="S130" i="2"/>
  <c r="AD102" i="4"/>
  <c r="AF102" i="4" s="1"/>
  <c r="AH102" i="4" s="1"/>
  <c r="AJ102" i="4" s="1"/>
  <c r="G17" i="1"/>
  <c r="O46" i="2"/>
  <c r="D59" i="2"/>
  <c r="Y46" i="1"/>
  <c r="F74" i="1"/>
  <c r="R82" i="1"/>
  <c r="G90" i="1"/>
  <c r="M90" i="1"/>
  <c r="Y111" i="1"/>
  <c r="G150" i="1"/>
  <c r="O150" i="1"/>
  <c r="V158" i="1"/>
  <c r="M167" i="1"/>
  <c r="P67" i="2"/>
  <c r="O90" i="2"/>
  <c r="D106" i="2"/>
  <c r="R114" i="2"/>
  <c r="AB32" i="1"/>
  <c r="S53" i="1"/>
  <c r="U10" i="2"/>
  <c r="I25" i="2"/>
  <c r="R59" i="2"/>
  <c r="X67" i="2"/>
  <c r="P106" i="2"/>
  <c r="AE58" i="4"/>
  <c r="U17" i="1"/>
  <c r="H17" i="1"/>
  <c r="S17" i="1"/>
  <c r="N24" i="1"/>
  <c r="O32" i="1"/>
  <c r="J39" i="1"/>
  <c r="F53" i="1"/>
  <c r="G59" i="1"/>
  <c r="G74" i="1"/>
  <c r="H82" i="1"/>
  <c r="S82" i="1"/>
  <c r="L103" i="1"/>
  <c r="D103" i="1"/>
  <c r="AB111" i="1"/>
  <c r="R127" i="1"/>
  <c r="P150" i="1"/>
  <c r="Z150" i="1"/>
  <c r="X167" i="1"/>
  <c r="H10" i="2"/>
  <c r="M10" i="2"/>
  <c r="N25" i="2"/>
  <c r="F25" i="2"/>
  <c r="S25" i="2"/>
  <c r="I32" i="2"/>
  <c r="K39" i="2"/>
  <c r="C52" i="2"/>
  <c r="M52" i="2"/>
  <c r="W52" i="2"/>
  <c r="M75" i="2"/>
  <c r="X98" i="2"/>
  <c r="Q106" i="2"/>
  <c r="F114" i="2"/>
  <c r="X122" i="2"/>
  <c r="K130" i="2"/>
  <c r="V130" i="2"/>
  <c r="O17" i="1"/>
  <c r="R46" i="1"/>
  <c r="M150" i="1"/>
  <c r="U52" i="2"/>
  <c r="U75" i="2"/>
  <c r="E24" i="1"/>
  <c r="M53" i="1"/>
  <c r="K59" i="1"/>
  <c r="O59" i="1"/>
  <c r="L90" i="1"/>
  <c r="P90" i="1"/>
  <c r="AB119" i="1"/>
  <c r="O158" i="1"/>
  <c r="O10" i="2"/>
  <c r="S46" i="2"/>
  <c r="I75" i="2"/>
  <c r="G82" i="2"/>
  <c r="N114" i="2"/>
  <c r="G114" i="2"/>
  <c r="D122" i="2"/>
  <c r="P122" i="2"/>
  <c r="C122" i="2"/>
  <c r="AD55" i="4"/>
  <c r="AF55" i="4" s="1"/>
  <c r="AH55" i="4" s="1"/>
  <c r="AJ55" i="4" s="1"/>
  <c r="S32" i="1"/>
  <c r="M24" i="1"/>
  <c r="AB90" i="1"/>
  <c r="U24" i="1"/>
  <c r="L32" i="1"/>
  <c r="J17" i="1"/>
  <c r="Q32" i="1"/>
  <c r="AA32" i="1"/>
  <c r="Z39" i="1"/>
  <c r="M46" i="1"/>
  <c r="O53" i="1"/>
  <c r="J82" i="1"/>
  <c r="AA103" i="1"/>
  <c r="M111" i="1"/>
  <c r="V119" i="1"/>
  <c r="T127" i="1"/>
  <c r="R150" i="1"/>
  <c r="N158" i="1"/>
  <c r="D10" i="2"/>
  <c r="C17" i="2"/>
  <c r="O17" i="2"/>
  <c r="Q32" i="2"/>
  <c r="G32" i="2"/>
  <c r="E52" i="2"/>
  <c r="Z74" i="2"/>
  <c r="G90" i="2"/>
  <c r="M90" i="2"/>
  <c r="U90" i="2"/>
  <c r="J114" i="2"/>
  <c r="E122" i="2"/>
  <c r="V17" i="1"/>
  <c r="N32" i="1"/>
  <c r="P32" i="1"/>
  <c r="K39" i="1"/>
  <c r="V39" i="1"/>
  <c r="AB46" i="1"/>
  <c r="Y59" i="1"/>
  <c r="I59" i="1"/>
  <c r="N90" i="1"/>
  <c r="Q90" i="1"/>
  <c r="H119" i="1"/>
  <c r="N127" i="1"/>
  <c r="Q127" i="1"/>
  <c r="P142" i="1"/>
  <c r="X150" i="1"/>
  <c r="I158" i="1"/>
  <c r="D167" i="1"/>
  <c r="X10" i="2"/>
  <c r="G25" i="2"/>
  <c r="H32" i="2"/>
  <c r="P39" i="2"/>
  <c r="V46" i="2"/>
  <c r="L52" i="2"/>
  <c r="O52" i="2"/>
  <c r="G59" i="2"/>
  <c r="O67" i="2"/>
  <c r="J67" i="2"/>
  <c r="Q75" i="2"/>
  <c r="J82" i="2"/>
  <c r="W90" i="2"/>
  <c r="Q98" i="2"/>
  <c r="R98" i="2"/>
  <c r="V106" i="2"/>
  <c r="Q114" i="2"/>
  <c r="V122" i="2"/>
  <c r="H130" i="2"/>
  <c r="M130" i="2"/>
  <c r="E139" i="2"/>
  <c r="M139" i="2"/>
  <c r="U139" i="2"/>
  <c r="AD71" i="4"/>
  <c r="AF71" i="4" s="1"/>
  <c r="AH71" i="4" s="1"/>
  <c r="AJ71" i="4" s="1"/>
  <c r="K17" i="1"/>
  <c r="E32" i="1"/>
  <c r="L39" i="1"/>
  <c r="T46" i="1"/>
  <c r="Y53" i="1"/>
  <c r="I53" i="1"/>
  <c r="T53" i="1"/>
  <c r="AB59" i="1"/>
  <c r="J59" i="1"/>
  <c r="T59" i="1"/>
  <c r="J74" i="1"/>
  <c r="K82" i="1"/>
  <c r="Y119" i="1"/>
  <c r="I119" i="1"/>
  <c r="N142" i="1"/>
  <c r="J142" i="1"/>
  <c r="C150" i="1"/>
  <c r="P10" i="2"/>
  <c r="J25" i="2"/>
  <c r="J46" i="2"/>
  <c r="N52" i="2"/>
  <c r="I67" i="2"/>
  <c r="Y75" i="2"/>
  <c r="O82" i="2"/>
  <c r="Y98" i="2"/>
  <c r="M106" i="2"/>
  <c r="U114" i="2"/>
  <c r="U122" i="2"/>
  <c r="X130" i="2"/>
  <c r="T139" i="2"/>
  <c r="AB53" i="1"/>
  <c r="L82" i="1"/>
  <c r="C82" i="1"/>
  <c r="W90" i="1"/>
  <c r="D90" i="1"/>
  <c r="T90" i="1"/>
  <c r="L111" i="1"/>
  <c r="H142" i="1"/>
  <c r="S142" i="1"/>
  <c r="Z167" i="1"/>
  <c r="N10" i="2"/>
  <c r="E10" i="2"/>
  <c r="Z31" i="2"/>
  <c r="C46" i="2"/>
  <c r="K46" i="2"/>
  <c r="T52" i="2"/>
  <c r="N90" i="2"/>
  <c r="P130" i="2"/>
  <c r="AC94" i="3"/>
  <c r="AF94" i="3" s="1"/>
  <c r="AH94" i="3" s="1"/>
  <c r="AJ94" i="3" s="1"/>
  <c r="AL94" i="3" s="1"/>
  <c r="AE89" i="4"/>
  <c r="AD135" i="4"/>
  <c r="AF135" i="4" s="1"/>
  <c r="AH135" i="4" s="1"/>
  <c r="AJ135" i="4" s="1"/>
  <c r="N17" i="1"/>
  <c r="H32" i="1"/>
  <c r="D39" i="1"/>
  <c r="AA39" i="1"/>
  <c r="H46" i="1"/>
  <c r="I90" i="1"/>
  <c r="Y127" i="1"/>
  <c r="AA150" i="1"/>
  <c r="T167" i="1"/>
  <c r="AA167" i="1"/>
  <c r="F10" i="2"/>
  <c r="V25" i="2"/>
  <c r="T39" i="2"/>
  <c r="G52" i="2"/>
  <c r="Z55" i="2"/>
  <c r="AC55" i="2" s="1"/>
  <c r="AE55" i="2" s="1"/>
  <c r="AG55" i="2" s="1"/>
  <c r="AI55" i="2" s="1"/>
  <c r="V59" i="2"/>
  <c r="N67" i="2"/>
  <c r="F67" i="2"/>
  <c r="V75" i="2"/>
  <c r="F90" i="2"/>
  <c r="R90" i="2"/>
  <c r="U98" i="2"/>
  <c r="L106" i="2"/>
  <c r="Z105" i="2"/>
  <c r="S106" i="2"/>
  <c r="V114" i="2"/>
  <c r="N130" i="2"/>
  <c r="AD28" i="4"/>
  <c r="AF28" i="4" s="1"/>
  <c r="AH28" i="4" s="1"/>
  <c r="AJ28" i="4" s="1"/>
  <c r="AE51" i="4"/>
  <c r="AE81" i="4"/>
  <c r="AD126" i="4"/>
  <c r="AF126" i="4" s="1"/>
  <c r="AH126" i="4" s="1"/>
  <c r="AJ126" i="4" s="1"/>
  <c r="Q25" i="2"/>
  <c r="O39" i="2"/>
  <c r="Q67" i="2"/>
  <c r="G67" i="2"/>
  <c r="Z135" i="2"/>
  <c r="AC135" i="2" s="1"/>
  <c r="AE135" i="2" s="1"/>
  <c r="AG135" i="2" s="1"/>
  <c r="AI135" i="2" s="1"/>
  <c r="Z53" i="1"/>
  <c r="X17" i="2"/>
  <c r="Y67" i="2"/>
  <c r="S122" i="2"/>
  <c r="D139" i="2"/>
  <c r="R139" i="2"/>
  <c r="V32" i="1"/>
  <c r="AB39" i="1"/>
  <c r="S39" i="1"/>
  <c r="Q46" i="1"/>
  <c r="Q53" i="1"/>
  <c r="Q59" i="1"/>
  <c r="T82" i="1"/>
  <c r="AC81" i="1"/>
  <c r="U82" i="1"/>
  <c r="O90" i="1"/>
  <c r="X103" i="1"/>
  <c r="R111" i="1"/>
  <c r="P119" i="1"/>
  <c r="O127" i="1"/>
  <c r="F142" i="1"/>
  <c r="X142" i="1"/>
  <c r="AB150" i="1"/>
  <c r="Q158" i="1"/>
  <c r="O167" i="1"/>
  <c r="V10" i="2"/>
  <c r="P17" i="2"/>
  <c r="U32" i="2"/>
  <c r="D39" i="2"/>
  <c r="G46" i="2"/>
  <c r="K52" i="2"/>
  <c r="K59" i="2"/>
  <c r="V67" i="2"/>
  <c r="R82" i="2"/>
  <c r="J90" i="2"/>
  <c r="Y106" i="2"/>
  <c r="G106" i="2"/>
  <c r="R122" i="2"/>
  <c r="U130" i="2"/>
  <c r="O130" i="2"/>
  <c r="W130" i="2"/>
  <c r="AL38" i="3"/>
  <c r="AE24" i="4"/>
  <c r="AD48" i="4"/>
  <c r="AF48" i="4" s="1"/>
  <c r="AH48" i="4" s="1"/>
  <c r="AJ48" i="4" s="1"/>
  <c r="AD78" i="4"/>
  <c r="AF78" i="4" s="1"/>
  <c r="AH78" i="4" s="1"/>
  <c r="AJ78" i="4" s="1"/>
  <c r="AE105" i="4"/>
  <c r="AD118" i="4"/>
  <c r="AF118" i="4" s="1"/>
  <c r="AH118" i="4" s="1"/>
  <c r="AJ118" i="4" s="1"/>
  <c r="E70" i="7"/>
  <c r="R90" i="1"/>
  <c r="M103" i="1"/>
  <c r="M127" i="1"/>
  <c r="Y142" i="1"/>
  <c r="Q142" i="1"/>
  <c r="Y10" i="2"/>
  <c r="Y17" i="2"/>
  <c r="Z66" i="2"/>
  <c r="S75" i="2"/>
  <c r="K74" i="1"/>
  <c r="S119" i="1"/>
  <c r="N39" i="1"/>
  <c r="L59" i="1"/>
  <c r="M82" i="1"/>
  <c r="S90" i="1"/>
  <c r="W111" i="1"/>
  <c r="T119" i="1"/>
  <c r="AC118" i="1"/>
  <c r="I142" i="1"/>
  <c r="R10" i="2"/>
  <c r="Z9" i="2"/>
  <c r="Z28" i="2"/>
  <c r="AC28" i="2" s="1"/>
  <c r="AE28" i="2" s="1"/>
  <c r="AG28" i="2" s="1"/>
  <c r="AI28" i="2" s="1"/>
  <c r="U39" i="2"/>
  <c r="T114" i="2"/>
  <c r="L17" i="1"/>
  <c r="C17" i="1"/>
  <c r="M17" i="1"/>
  <c r="W24" i="1"/>
  <c r="Q24" i="1"/>
  <c r="AA24" i="1"/>
  <c r="K32" i="1"/>
  <c r="U39" i="1"/>
  <c r="O39" i="1"/>
  <c r="AC42" i="1"/>
  <c r="AF42" i="1" s="1"/>
  <c r="AH42" i="1" s="1"/>
  <c r="AJ42" i="1" s="1"/>
  <c r="AL42" i="1" s="1"/>
  <c r="I46" i="1"/>
  <c r="J53" i="1"/>
  <c r="AC52" i="1"/>
  <c r="M59" i="1"/>
  <c r="X59" i="1"/>
  <c r="L74" i="1"/>
  <c r="O82" i="1"/>
  <c r="J90" i="1"/>
  <c r="N103" i="1"/>
  <c r="E103" i="1"/>
  <c r="Y103" i="1"/>
  <c r="Z111" i="1"/>
  <c r="K119" i="1"/>
  <c r="M119" i="1"/>
  <c r="W127" i="1"/>
  <c r="V150" i="1"/>
  <c r="AC166" i="1"/>
  <c r="Q10" i="2"/>
  <c r="V39" i="2"/>
  <c r="F122" i="2"/>
  <c r="I139" i="2"/>
  <c r="AE120" i="4"/>
  <c r="AE121" i="4" s="1"/>
  <c r="N59" i="1"/>
  <c r="E74" i="1"/>
  <c r="N82" i="1"/>
  <c r="U103" i="1"/>
  <c r="F111" i="1"/>
  <c r="G111" i="1"/>
  <c r="L119" i="1"/>
  <c r="AC141" i="1"/>
  <c r="K150" i="1"/>
  <c r="AC157" i="1"/>
  <c r="K167" i="1"/>
  <c r="J17" i="2"/>
  <c r="Y25" i="2"/>
  <c r="M39" i="2"/>
  <c r="M46" i="2"/>
  <c r="P59" i="2"/>
  <c r="Z58" i="2"/>
  <c r="P98" i="2"/>
  <c r="K122" i="2"/>
  <c r="AC15" i="3"/>
  <c r="C17" i="3"/>
  <c r="AC17" i="3" s="1"/>
  <c r="AH38" i="4"/>
  <c r="AJ38" i="4"/>
  <c r="AE137" i="4"/>
  <c r="AE138" i="4" s="1"/>
  <c r="M39" i="1"/>
  <c r="Y24" i="1"/>
  <c r="AC23" i="1"/>
  <c r="J32" i="1"/>
  <c r="J46" i="1"/>
  <c r="E17" i="1"/>
  <c r="Z17" i="1"/>
  <c r="H24" i="1"/>
  <c r="S24" i="1"/>
  <c r="M32" i="1"/>
  <c r="Y39" i="1"/>
  <c r="E39" i="1"/>
  <c r="Q39" i="1"/>
  <c r="L46" i="1"/>
  <c r="AC45" i="1"/>
  <c r="X53" i="1"/>
  <c r="V53" i="1"/>
  <c r="U59" i="1"/>
  <c r="AA59" i="1"/>
  <c r="W74" i="1"/>
  <c r="Z74" i="1"/>
  <c r="D82" i="1"/>
  <c r="Q82" i="1"/>
  <c r="H103" i="1"/>
  <c r="H111" i="1"/>
  <c r="D119" i="1"/>
  <c r="AC123" i="1"/>
  <c r="AF123" i="1" s="1"/>
  <c r="AH123" i="1" s="1"/>
  <c r="AJ123" i="1" s="1"/>
  <c r="AL123" i="1" s="1"/>
  <c r="L150" i="1"/>
  <c r="AC165" i="1"/>
  <c r="J10" i="2"/>
  <c r="V32" i="2"/>
  <c r="E46" i="2"/>
  <c r="P52" i="2"/>
  <c r="Z51" i="2"/>
  <c r="Q59" i="2"/>
  <c r="C75" i="2"/>
  <c r="O75" i="2"/>
  <c r="W75" i="2"/>
  <c r="D82" i="2"/>
  <c r="H120" i="2"/>
  <c r="H122" i="2" s="1"/>
  <c r="Z118" i="2"/>
  <c r="AC118" i="2" s="1"/>
  <c r="AE118" i="2" s="1"/>
  <c r="AG118" i="2" s="1"/>
  <c r="AI118" i="2" s="1"/>
  <c r="AC31" i="1"/>
  <c r="G24" i="1"/>
  <c r="K53" i="1"/>
  <c r="W17" i="1"/>
  <c r="F15" i="1"/>
  <c r="F17" i="1" s="1"/>
  <c r="AA17" i="1"/>
  <c r="AC20" i="1"/>
  <c r="AF20" i="1" s="1"/>
  <c r="AH20" i="1" s="1"/>
  <c r="AJ20" i="1" s="1"/>
  <c r="AL20" i="1" s="1"/>
  <c r="I24" i="1"/>
  <c r="C32" i="1"/>
  <c r="X32" i="1"/>
  <c r="AC38" i="1"/>
  <c r="X46" i="1"/>
  <c r="C53" i="1"/>
  <c r="E59" i="1"/>
  <c r="AA74" i="1"/>
  <c r="W82" i="1"/>
  <c r="Y90" i="1"/>
  <c r="E90" i="1"/>
  <c r="Z90" i="1"/>
  <c r="I103" i="1"/>
  <c r="AC102" i="1"/>
  <c r="I111" i="1"/>
  <c r="U119" i="1"/>
  <c r="E119" i="1"/>
  <c r="H127" i="1"/>
  <c r="C142" i="1"/>
  <c r="N150" i="1"/>
  <c r="K10" i="2"/>
  <c r="U25" i="2"/>
  <c r="D32" i="2"/>
  <c r="N32" i="2"/>
  <c r="W32" i="2"/>
  <c r="N39" i="2"/>
  <c r="N46" i="2"/>
  <c r="Q52" i="2"/>
  <c r="Y59" i="2"/>
  <c r="S59" i="2"/>
  <c r="L75" i="2"/>
  <c r="P90" i="2"/>
  <c r="Z129" i="2"/>
  <c r="AC16" i="1"/>
  <c r="P24" i="1"/>
  <c r="D17" i="1"/>
  <c r="U32" i="1"/>
  <c r="W39" i="1"/>
  <c r="K24" i="1"/>
  <c r="J24" i="1"/>
  <c r="D32" i="1"/>
  <c r="G39" i="1"/>
  <c r="H39" i="1"/>
  <c r="D46" i="1"/>
  <c r="U53" i="1"/>
  <c r="H59" i="1"/>
  <c r="AC58" i="1"/>
  <c r="Y82" i="1"/>
  <c r="F103" i="1"/>
  <c r="J103" i="1"/>
  <c r="J111" i="1"/>
  <c r="AC110" i="1"/>
  <c r="W119" i="1"/>
  <c r="Q119" i="1"/>
  <c r="AA119" i="1"/>
  <c r="I127" i="1"/>
  <c r="AC126" i="1"/>
  <c r="U142" i="1"/>
  <c r="O142" i="1"/>
  <c r="X158" i="1"/>
  <c r="I17" i="2"/>
  <c r="R39" i="2"/>
  <c r="R46" i="2"/>
  <c r="Y52" i="2"/>
  <c r="S52" i="2"/>
  <c r="H67" i="2"/>
  <c r="C67" i="2"/>
  <c r="Q82" i="2"/>
  <c r="Q90" i="2"/>
  <c r="K106" i="2"/>
  <c r="L114" i="2"/>
  <c r="E114" i="2"/>
  <c r="Y139" i="2"/>
  <c r="AB158" i="1"/>
  <c r="W167" i="1"/>
  <c r="S10" i="2"/>
  <c r="Q17" i="2"/>
  <c r="F17" i="2"/>
  <c r="R17" i="2"/>
  <c r="O25" i="2"/>
  <c r="X25" i="2"/>
  <c r="E32" i="2"/>
  <c r="O32" i="2"/>
  <c r="E39" i="2"/>
  <c r="U46" i="2"/>
  <c r="Z45" i="2"/>
  <c r="F52" i="2"/>
  <c r="V52" i="2"/>
  <c r="S67" i="2"/>
  <c r="K75" i="2"/>
  <c r="T75" i="2"/>
  <c r="Y82" i="2"/>
  <c r="X82" i="2"/>
  <c r="G98" i="2"/>
  <c r="W106" i="2"/>
  <c r="G122" i="2"/>
  <c r="AC154" i="1"/>
  <c r="AF154" i="1" s="1"/>
  <c r="AH154" i="1" s="1"/>
  <c r="AJ154" i="1" s="1"/>
  <c r="AL154" i="1" s="1"/>
  <c r="H158" i="1"/>
  <c r="AA158" i="1"/>
  <c r="E167" i="1"/>
  <c r="R167" i="1"/>
  <c r="I167" i="1"/>
  <c r="D17" i="2"/>
  <c r="T17" i="2"/>
  <c r="E25" i="2"/>
  <c r="P25" i="2"/>
  <c r="Z24" i="2"/>
  <c r="F32" i="2"/>
  <c r="R32" i="2"/>
  <c r="F39" i="2"/>
  <c r="I39" i="2"/>
  <c r="D46" i="2"/>
  <c r="H46" i="2"/>
  <c r="P46" i="2"/>
  <c r="X46" i="2"/>
  <c r="U59" i="2"/>
  <c r="K67" i="2"/>
  <c r="T67" i="2"/>
  <c r="P82" i="2"/>
  <c r="Z81" i="2"/>
  <c r="L90" i="2"/>
  <c r="T98" i="2"/>
  <c r="F98" i="2"/>
  <c r="V98" i="2"/>
  <c r="O106" i="2"/>
  <c r="I114" i="2"/>
  <c r="K114" i="2"/>
  <c r="S114" i="2"/>
  <c r="J122" i="2"/>
  <c r="T122" i="2"/>
  <c r="V139" i="2"/>
  <c r="AC78" i="3"/>
  <c r="AF78" i="3" s="1"/>
  <c r="AH78" i="3" s="1"/>
  <c r="AJ78" i="3" s="1"/>
  <c r="AL78" i="3" s="1"/>
  <c r="D80" i="3"/>
  <c r="D82" i="3" s="1"/>
  <c r="AC82" i="3" s="1"/>
  <c r="AG81" i="3" s="1"/>
  <c r="AC118" i="3"/>
  <c r="AF118" i="3" s="1"/>
  <c r="AH118" i="3" s="1"/>
  <c r="AJ118" i="3" s="1"/>
  <c r="AL118" i="3" s="1"/>
  <c r="J139" i="2"/>
  <c r="AE31" i="4"/>
  <c r="G167" i="1"/>
  <c r="J167" i="1"/>
  <c r="L10" i="2"/>
  <c r="W10" i="2"/>
  <c r="M17" i="2"/>
  <c r="V17" i="2"/>
  <c r="T25" i="2"/>
  <c r="T32" i="2"/>
  <c r="J39" i="2"/>
  <c r="S39" i="2"/>
  <c r="Q46" i="2"/>
  <c r="X52" i="2"/>
  <c r="L59" i="2"/>
  <c r="O59" i="2"/>
  <c r="X59" i="2"/>
  <c r="D67" i="2"/>
  <c r="N75" i="2"/>
  <c r="P75" i="2"/>
  <c r="X75" i="2"/>
  <c r="T82" i="2"/>
  <c r="W98" i="2"/>
  <c r="W122" i="2"/>
  <c r="R130" i="2"/>
  <c r="D130" i="2"/>
  <c r="T130" i="2"/>
  <c r="L139" i="2"/>
  <c r="AC13" i="3"/>
  <c r="AF13" i="3" s="1"/>
  <c r="AH13" i="3" s="1"/>
  <c r="AJ13" i="3" s="1"/>
  <c r="AL13" i="3" s="1"/>
  <c r="AC120" i="3"/>
  <c r="I82" i="2"/>
  <c r="U82" i="2"/>
  <c r="W82" i="2"/>
  <c r="I90" i="2"/>
  <c r="K90" i="2"/>
  <c r="O98" i="2"/>
  <c r="D114" i="2"/>
  <c r="N122" i="2"/>
  <c r="O122" i="2"/>
  <c r="F139" i="2"/>
  <c r="AC28" i="3"/>
  <c r="AF28" i="3" s="1"/>
  <c r="AH28" i="3" s="1"/>
  <c r="AJ28" i="3" s="1"/>
  <c r="AL28" i="3" s="1"/>
  <c r="AA6" i="4"/>
  <c r="AD6" i="4" s="1"/>
  <c r="AF6" i="4" s="1"/>
  <c r="AH6" i="4" s="1"/>
  <c r="AJ6" i="4" s="1"/>
  <c r="F8" i="4"/>
  <c r="F10" i="4" s="1"/>
  <c r="AE129" i="4"/>
  <c r="K98" i="2"/>
  <c r="J130" i="2"/>
  <c r="Q139" i="2"/>
  <c r="AG15" i="3"/>
  <c r="AG44" i="1"/>
  <c r="AC51" i="1"/>
  <c r="AG22" i="1"/>
  <c r="AC37" i="1"/>
  <c r="AC22" i="1"/>
  <c r="AC35" i="1"/>
  <c r="AF35" i="1" s="1"/>
  <c r="AH35" i="1" s="1"/>
  <c r="AJ35" i="1" s="1"/>
  <c r="AL35" i="1" s="1"/>
  <c r="AC99" i="1"/>
  <c r="AF99" i="1" s="1"/>
  <c r="AH99" i="1" s="1"/>
  <c r="AJ99" i="1" s="1"/>
  <c r="AL99" i="1" s="1"/>
  <c r="AC117" i="1"/>
  <c r="C39" i="1"/>
  <c r="AC49" i="1"/>
  <c r="AF49" i="1" s="1"/>
  <c r="AH49" i="1" s="1"/>
  <c r="AJ49" i="1" s="1"/>
  <c r="AL49" i="1" s="1"/>
  <c r="D53" i="1"/>
  <c r="AC86" i="1"/>
  <c r="AF86" i="1" s="1"/>
  <c r="AH86" i="1" s="1"/>
  <c r="AJ86" i="1" s="1"/>
  <c r="AL86" i="1" s="1"/>
  <c r="AG57" i="1"/>
  <c r="AG101" i="1"/>
  <c r="AC148" i="1"/>
  <c r="AC28" i="1"/>
  <c r="AF28" i="1" s="1"/>
  <c r="AH28" i="1" s="1"/>
  <c r="AJ28" i="1" s="1"/>
  <c r="AL28" i="1" s="1"/>
  <c r="G44" i="1"/>
  <c r="G46" i="1" s="1"/>
  <c r="L53" i="1"/>
  <c r="E53" i="1"/>
  <c r="AC72" i="1"/>
  <c r="AC78" i="1"/>
  <c r="AF78" i="1" s="1"/>
  <c r="AH78" i="1" s="1"/>
  <c r="AJ78" i="1" s="1"/>
  <c r="AL78" i="1" s="1"/>
  <c r="K103" i="1"/>
  <c r="AC140" i="1"/>
  <c r="AG37" i="1"/>
  <c r="F59" i="1"/>
  <c r="AC57" i="1"/>
  <c r="V59" i="1"/>
  <c r="AG72" i="1"/>
  <c r="AA90" i="1"/>
  <c r="AC55" i="1"/>
  <c r="AF55" i="1" s="1"/>
  <c r="AH55" i="1" s="1"/>
  <c r="AJ55" i="1" s="1"/>
  <c r="AL55" i="1" s="1"/>
  <c r="AC73" i="1"/>
  <c r="AC80" i="1"/>
  <c r="AC30" i="1"/>
  <c r="AC88" i="1"/>
  <c r="C90" i="1"/>
  <c r="AC89" i="1"/>
  <c r="AC109" i="1"/>
  <c r="AC70" i="1"/>
  <c r="AF70" i="1" s="1"/>
  <c r="AH70" i="1" s="1"/>
  <c r="AJ70" i="1" s="1"/>
  <c r="AL70" i="1" s="1"/>
  <c r="C74" i="1"/>
  <c r="AG117" i="1"/>
  <c r="AC101" i="1"/>
  <c r="L158" i="1"/>
  <c r="F167" i="1"/>
  <c r="AC163" i="1"/>
  <c r="AF163" i="1" s="1"/>
  <c r="AH163" i="1" s="1"/>
  <c r="AJ163" i="1" s="1"/>
  <c r="AL163" i="1" s="1"/>
  <c r="V167" i="1"/>
  <c r="AC115" i="1"/>
  <c r="AF115" i="1" s="1"/>
  <c r="AH115" i="1" s="1"/>
  <c r="AJ115" i="1" s="1"/>
  <c r="AL115" i="1" s="1"/>
  <c r="I150" i="1"/>
  <c r="Z8" i="2"/>
  <c r="Z16" i="2"/>
  <c r="C119" i="1"/>
  <c r="AC107" i="1"/>
  <c r="AF107" i="1" s="1"/>
  <c r="AH107" i="1" s="1"/>
  <c r="AJ107" i="1" s="1"/>
  <c r="AL107" i="1" s="1"/>
  <c r="F125" i="1"/>
  <c r="F127" i="1" s="1"/>
  <c r="AG125" i="1"/>
  <c r="AC138" i="1"/>
  <c r="AF138" i="1" s="1"/>
  <c r="AH138" i="1" s="1"/>
  <c r="AJ138" i="1" s="1"/>
  <c r="AL138" i="1" s="1"/>
  <c r="E150" i="1"/>
  <c r="S158" i="1"/>
  <c r="H167" i="1"/>
  <c r="C167" i="1"/>
  <c r="Z13" i="2"/>
  <c r="AC13" i="2" s="1"/>
  <c r="AE13" i="2" s="1"/>
  <c r="AG13" i="2" s="1"/>
  <c r="AI13" i="2" s="1"/>
  <c r="H15" i="2"/>
  <c r="H17" i="2" s="1"/>
  <c r="Z21" i="2"/>
  <c r="AC21" i="2" s="1"/>
  <c r="AE21" i="2" s="1"/>
  <c r="AG21" i="2" s="1"/>
  <c r="AI21" i="2" s="1"/>
  <c r="H23" i="2"/>
  <c r="H25" i="2" s="1"/>
  <c r="S32" i="2"/>
  <c r="Z35" i="2"/>
  <c r="AC35" i="2" s="1"/>
  <c r="AE35" i="2" s="1"/>
  <c r="AG35" i="2" s="1"/>
  <c r="AI35" i="2" s="1"/>
  <c r="AD57" i="2"/>
  <c r="AD65" i="2"/>
  <c r="AG88" i="1"/>
  <c r="T158" i="1"/>
  <c r="N167" i="1"/>
  <c r="Z6" i="2"/>
  <c r="AC6" i="2" s="1"/>
  <c r="AE6" i="2" s="1"/>
  <c r="AG6" i="2" s="1"/>
  <c r="AI6" i="2" s="1"/>
  <c r="L25" i="2"/>
  <c r="K32" i="2"/>
  <c r="D111" i="1"/>
  <c r="D142" i="1"/>
  <c r="AC156" i="1"/>
  <c r="E142" i="1"/>
  <c r="M142" i="1"/>
  <c r="AC146" i="1"/>
  <c r="AF146" i="1" s="1"/>
  <c r="AH146" i="1" s="1"/>
  <c r="AJ146" i="1" s="1"/>
  <c r="AL146" i="1" s="1"/>
  <c r="AG148" i="1"/>
  <c r="D158" i="1"/>
  <c r="D25" i="2"/>
  <c r="C32" i="2"/>
  <c r="Z30" i="2"/>
  <c r="Z50" i="2"/>
  <c r="V142" i="1"/>
  <c r="AC149" i="1"/>
  <c r="K158" i="1"/>
  <c r="E158" i="1"/>
  <c r="G10" i="2"/>
  <c r="AD23" i="2"/>
  <c r="C39" i="2"/>
  <c r="Z37" i="2"/>
  <c r="Z63" i="2"/>
  <c r="AC63" i="2" s="1"/>
  <c r="AE63" i="2" s="1"/>
  <c r="AG63" i="2" s="1"/>
  <c r="AI63" i="2" s="1"/>
  <c r="R67" i="2"/>
  <c r="Z65" i="2"/>
  <c r="Z80" i="2"/>
  <c r="Z104" i="2"/>
  <c r="C114" i="2"/>
  <c r="Z113" i="2"/>
  <c r="E130" i="2"/>
  <c r="C139" i="2"/>
  <c r="Z38" i="2"/>
  <c r="Z44" i="2"/>
  <c r="C90" i="2"/>
  <c r="Z89" i="2"/>
  <c r="Z94" i="2"/>
  <c r="AC94" i="2" s="1"/>
  <c r="AE94" i="2" s="1"/>
  <c r="AG94" i="2" s="1"/>
  <c r="AI94" i="2" s="1"/>
  <c r="H96" i="2"/>
  <c r="H98" i="2" s="1"/>
  <c r="AC8" i="3"/>
  <c r="D10" i="3"/>
  <c r="AC10" i="3" s="1"/>
  <c r="AG9" i="3" s="1"/>
  <c r="E32" i="3"/>
  <c r="E90" i="3"/>
  <c r="AC90" i="3" s="1"/>
  <c r="AG89" i="3" s="1"/>
  <c r="AC88" i="3"/>
  <c r="Z42" i="2"/>
  <c r="AC42" i="2" s="1"/>
  <c r="AE42" i="2" s="1"/>
  <c r="AG42" i="2" s="1"/>
  <c r="AI42" i="2" s="1"/>
  <c r="D75" i="2"/>
  <c r="K82" i="2"/>
  <c r="AD137" i="2"/>
  <c r="Z138" i="2"/>
  <c r="Z48" i="2"/>
  <c r="AC48" i="2" s="1"/>
  <c r="AE48" i="2" s="1"/>
  <c r="AG48" i="2" s="1"/>
  <c r="AI48" i="2" s="1"/>
  <c r="H57" i="2"/>
  <c r="H59" i="2" s="1"/>
  <c r="C82" i="2"/>
  <c r="Z112" i="2"/>
  <c r="AC35" i="3"/>
  <c r="AF35" i="3" s="1"/>
  <c r="AH35" i="3" s="1"/>
  <c r="AJ35" i="3" s="1"/>
  <c r="AL35" i="3" s="1"/>
  <c r="AC37" i="3"/>
  <c r="C158" i="1"/>
  <c r="H73" i="2"/>
  <c r="H75" i="2" s="1"/>
  <c r="Z71" i="2"/>
  <c r="AC71" i="2" s="1"/>
  <c r="AE71" i="2" s="1"/>
  <c r="AG71" i="2" s="1"/>
  <c r="AI71" i="2" s="1"/>
  <c r="F75" i="2"/>
  <c r="M82" i="2"/>
  <c r="Z88" i="2"/>
  <c r="N98" i="2"/>
  <c r="I122" i="2"/>
  <c r="Z121" i="2"/>
  <c r="S50" i="3"/>
  <c r="S52" i="3" s="1"/>
  <c r="AC48" i="3"/>
  <c r="AF48" i="3" s="1"/>
  <c r="AH48" i="3" s="1"/>
  <c r="AJ48" i="3" s="1"/>
  <c r="AL48" i="3" s="1"/>
  <c r="Z78" i="2"/>
  <c r="AC78" i="2" s="1"/>
  <c r="AE78" i="2" s="1"/>
  <c r="AG78" i="2" s="1"/>
  <c r="AI78" i="2" s="1"/>
  <c r="E82" i="2"/>
  <c r="Z86" i="2"/>
  <c r="AC86" i="2" s="1"/>
  <c r="AE86" i="2" s="1"/>
  <c r="AG86" i="2" s="1"/>
  <c r="AI86" i="2" s="1"/>
  <c r="D98" i="2"/>
  <c r="Z102" i="2"/>
  <c r="AC102" i="2" s="1"/>
  <c r="AE102" i="2" s="1"/>
  <c r="AG102" i="2" s="1"/>
  <c r="AI102" i="2" s="1"/>
  <c r="Z126" i="2"/>
  <c r="AC126" i="2" s="1"/>
  <c r="AE126" i="2" s="1"/>
  <c r="AG126" i="2" s="1"/>
  <c r="AI126" i="2" s="1"/>
  <c r="I128" i="2"/>
  <c r="I130" i="2" s="1"/>
  <c r="AD128" i="2"/>
  <c r="AC46" i="3"/>
  <c r="AG45" i="3" s="1"/>
  <c r="D73" i="3"/>
  <c r="D75" i="3" s="1"/>
  <c r="AC75" i="3" s="1"/>
  <c r="AG74" i="3" s="1"/>
  <c r="AC71" i="3"/>
  <c r="AF71" i="3" s="1"/>
  <c r="AH71" i="3" s="1"/>
  <c r="AJ71" i="3" s="1"/>
  <c r="AL71" i="3" s="1"/>
  <c r="Z97" i="2"/>
  <c r="C98" i="2"/>
  <c r="P114" i="2"/>
  <c r="X114" i="2"/>
  <c r="L130" i="2"/>
  <c r="AC21" i="3"/>
  <c r="AF21" i="3" s="1"/>
  <c r="AH21" i="3" s="1"/>
  <c r="AJ21" i="3" s="1"/>
  <c r="AL21" i="3" s="1"/>
  <c r="S23" i="3"/>
  <c r="S25" i="3" s="1"/>
  <c r="AC25" i="3" s="1"/>
  <c r="AG24" i="3" s="1"/>
  <c r="Q57" i="3"/>
  <c r="Q59" i="3" s="1"/>
  <c r="AC59" i="3" s="1"/>
  <c r="AG58" i="3" s="1"/>
  <c r="AC55" i="3"/>
  <c r="AF55" i="3" s="1"/>
  <c r="AH55" i="3" s="1"/>
  <c r="AJ55" i="3" s="1"/>
  <c r="AL55" i="3" s="1"/>
  <c r="V137" i="3"/>
  <c r="V139" i="3" s="1"/>
  <c r="AC135" i="3"/>
  <c r="AF135" i="3" s="1"/>
  <c r="AH135" i="3" s="1"/>
  <c r="AJ135" i="3" s="1"/>
  <c r="AL135" i="3" s="1"/>
  <c r="AD104" i="2"/>
  <c r="Z110" i="2"/>
  <c r="AC110" i="2" s="1"/>
  <c r="AE110" i="2" s="1"/>
  <c r="AG110" i="2" s="1"/>
  <c r="AI110" i="2" s="1"/>
  <c r="Q30" i="3"/>
  <c r="Q32" i="3" s="1"/>
  <c r="AG37" i="3"/>
  <c r="AG65" i="3"/>
  <c r="AC122" i="3"/>
  <c r="AG121" i="3" s="1"/>
  <c r="D112" i="3"/>
  <c r="D114" i="3" s="1"/>
  <c r="AC114" i="3" s="1"/>
  <c r="AG113" i="3" s="1"/>
  <c r="AC110" i="3"/>
  <c r="AF110" i="3" s="1"/>
  <c r="AH110" i="3" s="1"/>
  <c r="AJ110" i="3" s="1"/>
  <c r="AL110" i="3" s="1"/>
  <c r="AA44" i="4"/>
  <c r="AD94" i="4"/>
  <c r="AF94" i="4" s="1"/>
  <c r="AH94" i="4" s="1"/>
  <c r="AJ94" i="4" s="1"/>
  <c r="D52" i="3"/>
  <c r="D65" i="3"/>
  <c r="D67" i="3" s="1"/>
  <c r="AC63" i="3"/>
  <c r="AF63" i="3" s="1"/>
  <c r="AH63" i="3" s="1"/>
  <c r="AJ63" i="3" s="1"/>
  <c r="AL63" i="3" s="1"/>
  <c r="C67" i="3"/>
  <c r="Q128" i="3"/>
  <c r="Q130" i="3" s="1"/>
  <c r="AC130" i="3" s="1"/>
  <c r="AG129" i="3" s="1"/>
  <c r="AC126" i="3"/>
  <c r="AF126" i="3" s="1"/>
  <c r="AH126" i="3" s="1"/>
  <c r="AJ126" i="3" s="1"/>
  <c r="AL126" i="3" s="1"/>
  <c r="H137" i="2"/>
  <c r="H139" i="2" s="1"/>
  <c r="S104" i="3"/>
  <c r="S106" i="3" s="1"/>
  <c r="AC106" i="3" s="1"/>
  <c r="AG105" i="3" s="1"/>
  <c r="AC102" i="3"/>
  <c r="AF102" i="3" s="1"/>
  <c r="AH102" i="3" s="1"/>
  <c r="AJ102" i="3" s="1"/>
  <c r="AL102" i="3" s="1"/>
  <c r="AE15" i="4"/>
  <c r="AE16" i="4" s="1"/>
  <c r="AA39" i="4"/>
  <c r="AJ38" i="3"/>
  <c r="AC44" i="3"/>
  <c r="D96" i="3"/>
  <c r="AA46" i="4"/>
  <c r="AE45" i="4" s="1"/>
  <c r="AE113" i="4"/>
  <c r="AC6" i="3"/>
  <c r="AF6" i="3" s="1"/>
  <c r="AH6" i="3" s="1"/>
  <c r="AJ6" i="3" s="1"/>
  <c r="AL6" i="3" s="1"/>
  <c r="AC39" i="3"/>
  <c r="AC42" i="3"/>
  <c r="AF42" i="3" s="1"/>
  <c r="AH42" i="3" s="1"/>
  <c r="AJ42" i="3" s="1"/>
  <c r="AL42" i="3" s="1"/>
  <c r="E139" i="3"/>
  <c r="AE97" i="4"/>
  <c r="AA37" i="4"/>
  <c r="C10" i="4"/>
  <c r="AA35" i="4"/>
  <c r="AD35" i="4" s="1"/>
  <c r="AF35" i="4" s="1"/>
  <c r="AH35" i="4" s="1"/>
  <c r="AJ35" i="4" s="1"/>
  <c r="AE37" i="4"/>
  <c r="AA42" i="4"/>
  <c r="AD42" i="4" s="1"/>
  <c r="AF42" i="4" s="1"/>
  <c r="AH42" i="4" s="1"/>
  <c r="AJ42" i="4" s="1"/>
  <c r="AC86" i="3"/>
  <c r="AF86" i="3" s="1"/>
  <c r="AH86" i="3" s="1"/>
  <c r="AJ86" i="3" s="1"/>
  <c r="AL86" i="3" s="1"/>
  <c r="AC80" i="3" l="1"/>
  <c r="AC125" i="1"/>
  <c r="Z106" i="2"/>
  <c r="AD105" i="2" s="1"/>
  <c r="AC137" i="3"/>
  <c r="AC112" i="3"/>
  <c r="AC52" i="3"/>
  <c r="AG51" i="3" s="1"/>
  <c r="AG16" i="3"/>
  <c r="Z120" i="2"/>
  <c r="AE38" i="4"/>
  <c r="AG38" i="3"/>
  <c r="AC17" i="1"/>
  <c r="AG16" i="1" s="1"/>
  <c r="AC59" i="1"/>
  <c r="AG58" i="1" s="1"/>
  <c r="AC46" i="1"/>
  <c r="AG45" i="1" s="1"/>
  <c r="AC32" i="1"/>
  <c r="AG31" i="1" s="1"/>
  <c r="AC24" i="1"/>
  <c r="AG23" i="1" s="1"/>
  <c r="Z17" i="2"/>
  <c r="AD16" i="2" s="1"/>
  <c r="AC15" i="1"/>
  <c r="Z46" i="2"/>
  <c r="AD45" i="2" s="1"/>
  <c r="AC82" i="1"/>
  <c r="AG81" i="1" s="1"/>
  <c r="AA10" i="4"/>
  <c r="AE9" i="4" s="1"/>
  <c r="AC127" i="1"/>
  <c r="AG126" i="1" s="1"/>
  <c r="AC103" i="1"/>
  <c r="AG102" i="1" s="1"/>
  <c r="Z52" i="2"/>
  <c r="AD51" i="2" s="1"/>
  <c r="AC23" i="3"/>
  <c r="AA8" i="4"/>
  <c r="Z90" i="2"/>
  <c r="AD89" i="2" s="1"/>
  <c r="Z10" i="2"/>
  <c r="AD9" i="2" s="1"/>
  <c r="Z59" i="2"/>
  <c r="AD58" i="2" s="1"/>
  <c r="Z122" i="2"/>
  <c r="AD121" i="2" s="1"/>
  <c r="AC50" i="3"/>
  <c r="AC32" i="3"/>
  <c r="AG31" i="3" s="1"/>
  <c r="Z39" i="2"/>
  <c r="AD38" i="2" s="1"/>
  <c r="AC150" i="1"/>
  <c r="AG149" i="1" s="1"/>
  <c r="AC90" i="1"/>
  <c r="AG89" i="1" s="1"/>
  <c r="AC142" i="1"/>
  <c r="AG141" i="1" s="1"/>
  <c r="Z25" i="2"/>
  <c r="AD24" i="2" s="1"/>
  <c r="AC111" i="1"/>
  <c r="AG110" i="1" s="1"/>
  <c r="Z75" i="2"/>
  <c r="AD74" i="2" s="1"/>
  <c r="AC74" i="1"/>
  <c r="AG73" i="1" s="1"/>
  <c r="AC53" i="1"/>
  <c r="AG52" i="1" s="1"/>
  <c r="AC73" i="3"/>
  <c r="Z67" i="2"/>
  <c r="AD66" i="2" s="1"/>
  <c r="AC119" i="1"/>
  <c r="AG118" i="1" s="1"/>
  <c r="AC44" i="1"/>
  <c r="Z98" i="2"/>
  <c r="AD97" i="2" s="1"/>
  <c r="AC139" i="3"/>
  <c r="AG138" i="3" s="1"/>
  <c r="AC65" i="3"/>
  <c r="Z130" i="2"/>
  <c r="AD129" i="2" s="1"/>
  <c r="AC39" i="1"/>
  <c r="AG38" i="1" s="1"/>
  <c r="D98" i="3"/>
  <c r="AC98" i="3" s="1"/>
  <c r="AG97" i="3" s="1"/>
  <c r="AC96" i="3"/>
  <c r="Z128" i="2"/>
  <c r="AC167" i="1"/>
  <c r="AG166" i="1" s="1"/>
  <c r="Z114" i="2"/>
  <c r="AD113" i="2" s="1"/>
  <c r="Z82" i="2"/>
  <c r="AD81" i="2" s="1"/>
  <c r="AC30" i="3"/>
  <c r="Z139" i="2"/>
  <c r="AD138" i="2" s="1"/>
  <c r="Z32" i="2"/>
  <c r="AD31" i="2" s="1"/>
  <c r="Z73" i="2"/>
  <c r="Z137" i="2"/>
  <c r="Z57" i="2"/>
  <c r="AC104" i="3"/>
  <c r="AC67" i="3"/>
  <c r="AG66" i="3" s="1"/>
  <c r="AC57" i="3"/>
  <c r="AC158" i="1"/>
  <c r="AG157" i="1" s="1"/>
  <c r="Z15" i="2"/>
  <c r="Z23" i="2"/>
  <c r="AC128" i="3"/>
  <c r="Z96" i="2"/>
</calcChain>
</file>

<file path=xl/sharedStrings.xml><?xml version="1.0" encoding="utf-8"?>
<sst xmlns="http://schemas.openxmlformats.org/spreadsheetml/2006/main" count="1853" uniqueCount="145">
  <si>
    <t>SEF</t>
  </si>
  <si>
    <t xml:space="preserve">VACI TRAN </t>
  </si>
  <si>
    <t>ZILE</t>
  </si>
  <si>
    <t>VACA ZI*160</t>
  </si>
  <si>
    <t xml:space="preserve">DE PLATIT </t>
  </si>
  <si>
    <t>ZILE LUCRATOARE</t>
  </si>
  <si>
    <t>ZILE IN PLUS</t>
  </si>
  <si>
    <t xml:space="preserve">SALAR PE ZI </t>
  </si>
  <si>
    <t xml:space="preserve">BANI IN PLUS </t>
  </si>
  <si>
    <t xml:space="preserve">SALAR BAZA </t>
  </si>
  <si>
    <t xml:space="preserve">TOTAL </t>
  </si>
  <si>
    <t>Nume și prenume</t>
  </si>
  <si>
    <t xml:space="preserve">PREMIUM SUPLIMENTAR </t>
  </si>
  <si>
    <t>Mentiuni</t>
  </si>
  <si>
    <t xml:space="preserve">CIOCLEA IOAN </t>
  </si>
  <si>
    <t>08.06 - a ajuns la 09:02</t>
  </si>
  <si>
    <t>transatori</t>
  </si>
  <si>
    <t>vaci pe om</t>
  </si>
  <si>
    <t>cost /vaca</t>
  </si>
  <si>
    <t>vaci 160 in 14</t>
  </si>
  <si>
    <t>bani  in plus</t>
  </si>
  <si>
    <t xml:space="preserve">difernta </t>
  </si>
  <si>
    <t>CIOCLEA CRISTIAN</t>
  </si>
  <si>
    <t xml:space="preserve">PULPA </t>
  </si>
  <si>
    <t>COJOCARIU SERGIU</t>
  </si>
  <si>
    <t>06.06 - a plecat la 15:00</t>
  </si>
  <si>
    <t>ANTRICOT</t>
  </si>
  <si>
    <t>CONSTANTINESCU SEBASTIAN</t>
  </si>
  <si>
    <t>16.06 - a plecat la 09:30     05.06 a fost prezent</t>
  </si>
  <si>
    <t xml:space="preserve">DESFACUT </t>
  </si>
  <si>
    <t>SPATA COASTE ANT</t>
  </si>
  <si>
    <t>CARINICIUC CRISTIAN VALENTIN</t>
  </si>
  <si>
    <t>GAT SPATA</t>
  </si>
  <si>
    <t xml:space="preserve">CULIDIUC CLAUDIU </t>
  </si>
  <si>
    <t>PL VR ANT</t>
  </si>
  <si>
    <t>CULIDIUC COSMIN</t>
  </si>
  <si>
    <t>avans</t>
  </si>
  <si>
    <t>GHEORGHICIUC FLORIN</t>
  </si>
  <si>
    <t>GAT COASTE</t>
  </si>
  <si>
    <t xml:space="preserve">LUCHIAN IONEL </t>
  </si>
  <si>
    <t>09.06 - a venit la 12:30, a fost la analize</t>
  </si>
  <si>
    <t>ANT COASTE</t>
  </si>
  <si>
    <t>MATEIUC FLORIN</t>
  </si>
  <si>
    <t>04.06 - a fost prezent</t>
  </si>
  <si>
    <t>COASTE GAT VR</t>
  </si>
  <si>
    <t>MATEIUC RADU</t>
  </si>
  <si>
    <t>desfacut pulpa</t>
  </si>
  <si>
    <t>NECHIFOR NELU FLORIN</t>
  </si>
  <si>
    <t xml:space="preserve">VRABIOARA </t>
  </si>
  <si>
    <t>SENDREA FLORIN</t>
  </si>
  <si>
    <t xml:space="preserve">SUSTER MIHAI </t>
  </si>
  <si>
    <t>19.06 - a ajuns la 11:13</t>
  </si>
  <si>
    <t xml:space="preserve"> DESFACE PULPA </t>
  </si>
  <si>
    <t xml:space="preserve">TANASE RAZVAN </t>
  </si>
  <si>
    <t>23.06 - a lipsit 1 h</t>
  </si>
  <si>
    <t>VRABIOARA</t>
  </si>
  <si>
    <t>VIRLAN ALIN</t>
  </si>
  <si>
    <t>25.04 a plecat la ora 15:00</t>
  </si>
  <si>
    <t>27.04 a ajuns la 08:00</t>
  </si>
  <si>
    <t>30.04 a plecat la 13:20</t>
  </si>
  <si>
    <t>18.04 a ajuns la 9:00</t>
  </si>
  <si>
    <t>20.04 a plecat la 11:00 29.04 a plecat la 13:10</t>
  </si>
  <si>
    <t>08.04 a plecat la 11</t>
  </si>
  <si>
    <t>18.04 a ajuns la 11:20</t>
  </si>
  <si>
    <t>02.04 a ajuns la 11:00</t>
  </si>
  <si>
    <t>Solduri furnizori</t>
  </si>
  <si>
    <t>Furnizor</t>
  </si>
  <si>
    <t>Tip document</t>
  </si>
  <si>
    <t>Nr. doc.</t>
  </si>
  <si>
    <t>Data document</t>
  </si>
  <si>
    <t>Suma</t>
  </si>
  <si>
    <t>ACIDIC COFFEE S.R.L.</t>
  </si>
  <si>
    <t>Factura</t>
  </si>
  <si>
    <t>576</t>
  </si>
  <si>
    <t>RO72 BTRL RONC RT0C J177 6601</t>
  </si>
  <si>
    <t>PRODUSE CAFENEA</t>
  </si>
  <si>
    <t>TOTAL</t>
  </si>
  <si>
    <t>CARREFOUR ROMANIA SA</t>
  </si>
  <si>
    <t>CRL269197006886</t>
  </si>
  <si>
    <t>RO74 BRDE 450S V009 9768 4500</t>
  </si>
  <si>
    <t>PRODUSE ALIMENTARE</t>
  </si>
  <si>
    <t>COCA-COLA HBC ROMANIA SRL</t>
  </si>
  <si>
    <t>2620442845</t>
  </si>
  <si>
    <t>RO13 INGB 0001 0001 1912 8915</t>
  </si>
  <si>
    <t>2620468134</t>
  </si>
  <si>
    <t>COLA</t>
  </si>
  <si>
    <t>CONTROL FRUCT LOGISTIC S.R.L.</t>
  </si>
  <si>
    <t>19565</t>
  </si>
  <si>
    <t>RO48 BRDE 070S V520 8815 0700</t>
  </si>
  <si>
    <t>19595</t>
  </si>
  <si>
    <t>19725</t>
  </si>
  <si>
    <t>19732</t>
  </si>
  <si>
    <t>DENY INTERNAŢIONAL CONSULTING SRL</t>
  </si>
  <si>
    <t>25339</t>
  </si>
  <si>
    <t>RO89 BTRL RONC RT0V 2797 0401</t>
  </si>
  <si>
    <t>25347</t>
  </si>
  <si>
    <t>CAFEA</t>
  </si>
  <si>
    <t>ECUATOR SRL</t>
  </si>
  <si>
    <t>BT222.000195</t>
  </si>
  <si>
    <t>RO59 CECE SV01 01RO N057 9129</t>
  </si>
  <si>
    <t>BT222.000196</t>
  </si>
  <si>
    <t>APA</t>
  </si>
  <si>
    <t>FRESCO EXPERT SRL</t>
  </si>
  <si>
    <t>F30709</t>
  </si>
  <si>
    <t>RO77 BTRL 0430 1202 7066 49XX</t>
  </si>
  <si>
    <t>ECHIPAMENT</t>
  </si>
  <si>
    <t>HONEST FOOD SRL</t>
  </si>
  <si>
    <t>B2B1594</t>
  </si>
  <si>
    <t>HORECA PIV SRL</t>
  </si>
  <si>
    <t>RO31 INGB 0000 9999 0381 1871</t>
  </si>
  <si>
    <t>JOSI LOGISTIC S.R.L.</t>
  </si>
  <si>
    <t>F.927411.00</t>
  </si>
  <si>
    <t>RO24 INGB 5025 9999 1573 5120</t>
  </si>
  <si>
    <t>F.928529.00</t>
  </si>
  <si>
    <t>ULEI ETC STEAK</t>
  </si>
  <si>
    <t>F.929708.00</t>
  </si>
  <si>
    <t>JUST SEVEN S.R.L.</t>
  </si>
  <si>
    <t>5420</t>
  </si>
  <si>
    <t>RO55 BTRL RONC RT05 2377 1701</t>
  </si>
  <si>
    <t>MURELLI</t>
  </si>
  <si>
    <t>MARATHON DISTRIBUTION GROUP SRL</t>
  </si>
  <si>
    <t>SVFMTH.283313</t>
  </si>
  <si>
    <t>RO24 RNCB 0072 0292 2091 0001</t>
  </si>
  <si>
    <t>METRO CASH &amp; CARRY ROMANIA SRL</t>
  </si>
  <si>
    <t>6026000035014757</t>
  </si>
  <si>
    <t>6026000035014758</t>
  </si>
  <si>
    <t>6026000035015053</t>
  </si>
  <si>
    <t>OPTIMA STORE SRL</t>
  </si>
  <si>
    <t>57956</t>
  </si>
  <si>
    <t>RO33 INGB 0000 9999 0596 0967</t>
  </si>
  <si>
    <t>58177</t>
  </si>
  <si>
    <t>MAT CONSUMABILE TORK SERVETELE</t>
  </si>
  <si>
    <t>SELGROS CASH &amp; CARRY SRL</t>
  </si>
  <si>
    <t>2636416210400962</t>
  </si>
  <si>
    <t>RO20 RZBR 0000 0600 0895 7207</t>
  </si>
  <si>
    <t>URBAN FOOD HOUSE CATERING S.R.L.</t>
  </si>
  <si>
    <t>3239</t>
  </si>
  <si>
    <t>RO98 BTRL RONC RT06 8076 9501</t>
  </si>
  <si>
    <t>3263</t>
  </si>
  <si>
    <t>TOTAL GENERAL SOLDURI</t>
  </si>
  <si>
    <t>AXINEI GELU</t>
  </si>
  <si>
    <t xml:space="preserve">CUCIUREANU MIREL </t>
  </si>
  <si>
    <t>PRISACARIU SORIN</t>
  </si>
  <si>
    <t>TARNAUCEANU DORU</t>
  </si>
  <si>
    <t>KARKI BED BAHADUR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</si>
</sst>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.mm\.yyyy"/>
  </numFmts>
  <fonts count="35" x14ac:knownFonts="1">
    <font>
      <sz val="11"/>
      <color theme="1"/>
      <name val="Calibri"/>
      <scheme val="minor"/>
    </font>
    <font>
      <sz val="15"/>
      <color theme="1"/>
      <name val="Calibri"/>
      <family val="2"/>
      <charset val="238"/>
      <scheme val="minor"/>
    </font>
    <font>
      <b/>
      <sz val="15"/>
      <color theme="1"/>
      <name val="Calibri"/>
      <family val="2"/>
      <charset val="238"/>
      <scheme val="minor"/>
    </font>
    <font>
      <b/>
      <sz val="15"/>
      <name val="Times New Roman"/>
      <family val="1"/>
      <charset val="238"/>
    </font>
    <font>
      <b/>
      <sz val="15"/>
      <name val="Calibri"/>
      <family val="2"/>
      <charset val="238"/>
      <scheme val="minor"/>
    </font>
    <font>
      <b/>
      <sz val="15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sz val="14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14"/>
      <name val="Times New Roman"/>
      <family val="1"/>
      <charset val="238"/>
    </font>
    <font>
      <b/>
      <sz val="14"/>
      <name val="Calibri"/>
      <family val="2"/>
      <charset val="238"/>
      <scheme val="minor"/>
    </font>
    <font>
      <sz val="15"/>
      <name val="Calibri"/>
      <family val="2"/>
      <charset val="238"/>
      <scheme val="minor"/>
    </font>
    <font>
      <b/>
      <sz val="28"/>
      <color rgb="FF00000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u/>
      <sz val="22"/>
      <color rgb="FF000000"/>
      <name val="Arial"/>
      <family val="2"/>
      <charset val="238"/>
    </font>
    <font>
      <sz val="20"/>
      <color rgb="FF000000"/>
      <name val="Arial"/>
      <family val="2"/>
      <charset val="238"/>
    </font>
    <font>
      <u/>
      <sz val="20"/>
      <color rgb="FF000000"/>
      <name val="Arial"/>
      <family val="2"/>
      <charset val="238"/>
    </font>
    <font>
      <b/>
      <sz val="20"/>
      <color rgb="FF000000"/>
      <name val="Arial"/>
      <family val="2"/>
      <charset val="238"/>
    </font>
    <font>
      <sz val="22"/>
      <color rgb="FF000000"/>
      <name val="Arial"/>
      <family val="2"/>
      <charset val="238"/>
    </font>
    <font>
      <sz val="15"/>
      <color theme="1"/>
      <name val="Calibri"/>
      <family val="2"/>
      <charset val="238"/>
      <scheme val="minor"/>
    </font>
    <font>
      <b/>
      <sz val="15"/>
      <name val="Times New Roman"/>
      <family val="1"/>
      <charset val="238"/>
    </font>
    <font>
      <b/>
      <sz val="15"/>
      <name val="Calibri"/>
      <family val="2"/>
      <charset val="238"/>
      <scheme val="minor"/>
    </font>
    <font>
      <b/>
      <sz val="15"/>
      <color theme="1"/>
      <name val="Calibri"/>
      <family val="2"/>
      <charset val="238"/>
      <scheme val="minor"/>
    </font>
    <font>
      <b/>
      <sz val="15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sz val="14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14"/>
      <name val="Times New Roman"/>
      <family val="1"/>
      <charset val="238"/>
    </font>
    <font>
      <b/>
      <sz val="14"/>
      <name val="Calibri"/>
      <family val="2"/>
      <charset val="238"/>
      <scheme val="minor"/>
    </font>
    <font>
      <sz val="15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0"/>
      </patternFill>
    </fill>
    <fill>
      <patternFill patternType="solid">
        <fgColor indexed="5"/>
      </patternFill>
    </fill>
    <fill>
      <patternFill patternType="solid">
        <fgColor rgb="FFFFF8D6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C7CE"/>
      </patternFill>
    </fill>
    <fill>
      <patternFill patternType="solid">
        <fgColor rgb="FFFFF8D6"/>
      </patternFill>
    </fill>
    <fill>
      <patternFill patternType="solid">
        <fgColor rgb="FFDDEBFF"/>
      </patternFill>
    </fill>
    <fill>
      <patternFill patternType="solid">
        <fgColor rgb="FFC6EFCE"/>
      </patternFill>
    </fill>
    <fill>
      <patternFill patternType="solid">
        <fgColor rgb="FFFFFF00"/>
        <bgColor theme="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dotted">
        <color rgb="FF1F1F1F"/>
      </bottom>
      <diagonal/>
    </border>
    <border>
      <left/>
      <right/>
      <top/>
      <bottom style="dotted">
        <color rgb="FF1F1F1F"/>
      </bottom>
      <diagonal/>
    </border>
    <border>
      <left/>
      <right style="thick">
        <color rgb="FF000000"/>
      </right>
      <top/>
      <bottom style="dotted">
        <color rgb="FF1F1F1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1F1F1F"/>
      </bottom>
      <diagonal/>
    </border>
    <border>
      <left/>
      <right/>
      <top style="thick">
        <color rgb="FF000000"/>
      </top>
      <bottom style="dotted">
        <color rgb="FF1F1F1F"/>
      </bottom>
      <diagonal/>
    </border>
    <border>
      <left/>
      <right style="thick">
        <color rgb="FF000000"/>
      </right>
      <top style="thick">
        <color rgb="FF000000"/>
      </top>
      <bottom style="dotted">
        <color rgb="FF1F1F1F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2" borderId="0" xfId="0" applyFont="1" applyFill="1"/>
    <xf numFmtId="0" fontId="2" fillId="2" borderId="0" xfId="0" applyFont="1" applyFill="1"/>
    <xf numFmtId="2" fontId="3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2" fontId="7" fillId="2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8" fillId="2" borderId="8" xfId="0" applyFont="1" applyFill="1" applyBorder="1"/>
    <xf numFmtId="0" fontId="8" fillId="2" borderId="9" xfId="0" applyFont="1" applyFill="1" applyBorder="1"/>
    <xf numFmtId="0" fontId="9" fillId="2" borderId="9" xfId="0" applyFont="1" applyFill="1" applyBorder="1"/>
    <xf numFmtId="0" fontId="8" fillId="2" borderId="10" xfId="0" applyFont="1" applyFill="1" applyBorder="1"/>
    <xf numFmtId="0" fontId="10" fillId="2" borderId="9" xfId="0" applyFont="1" applyFill="1" applyBorder="1"/>
    <xf numFmtId="0" fontId="1" fillId="2" borderId="11" xfId="0" applyFont="1" applyFill="1" applyBorder="1"/>
    <xf numFmtId="0" fontId="2" fillId="2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1" fillId="2" borderId="14" xfId="0" applyFont="1" applyFill="1" applyBorder="1"/>
    <xf numFmtId="0" fontId="2" fillId="2" borderId="14" xfId="0" applyFont="1" applyFill="1" applyBorder="1"/>
    <xf numFmtId="0" fontId="2" fillId="3" borderId="14" xfId="0" applyFont="1" applyFill="1" applyBorder="1"/>
    <xf numFmtId="0" fontId="8" fillId="2" borderId="0" xfId="0" applyFont="1" applyFill="1"/>
    <xf numFmtId="2" fontId="4" fillId="3" borderId="2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2" fillId="2" borderId="16" xfId="0" applyFont="1" applyFill="1" applyBorder="1"/>
    <xf numFmtId="0" fontId="2" fillId="2" borderId="17" xfId="0" applyFont="1" applyFill="1" applyBorder="1"/>
    <xf numFmtId="0" fontId="10" fillId="2" borderId="5" xfId="0" applyFont="1" applyFill="1" applyBorder="1"/>
    <xf numFmtId="0" fontId="11" fillId="2" borderId="7" xfId="0" applyFont="1" applyFill="1" applyBorder="1" applyAlignment="1">
      <alignment horizontal="center" vertical="center" wrapText="1"/>
    </xf>
    <xf numFmtId="164" fontId="12" fillId="2" borderId="7" xfId="0" applyNumberFormat="1" applyFont="1" applyFill="1" applyBorder="1" applyAlignment="1">
      <alignment horizontal="center" vertical="center"/>
    </xf>
    <xf numFmtId="2" fontId="12" fillId="2" borderId="7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14" xfId="0" applyFont="1" applyFill="1" applyBorder="1"/>
    <xf numFmtId="0" fontId="4" fillId="2" borderId="0" xfId="0" applyFont="1" applyFill="1"/>
    <xf numFmtId="0" fontId="3" fillId="2" borderId="7" xfId="0" applyFont="1" applyFill="1" applyBorder="1" applyAlignment="1">
      <alignment horizontal="left" vertical="center" wrapText="1"/>
    </xf>
    <xf numFmtId="0" fontId="10" fillId="2" borderId="18" xfId="0" applyFont="1" applyFill="1" applyBorder="1"/>
    <xf numFmtId="0" fontId="1" fillId="4" borderId="0" xfId="0" applyFont="1" applyFill="1"/>
    <xf numFmtId="0" fontId="2" fillId="4" borderId="0" xfId="0" applyFont="1" applyFill="1"/>
    <xf numFmtId="2" fontId="3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center" vertical="center" wrapText="1"/>
    </xf>
    <xf numFmtId="2" fontId="12" fillId="4" borderId="7" xfId="0" applyNumberFormat="1" applyFont="1" applyFill="1" applyBorder="1" applyAlignment="1">
      <alignment horizontal="center" vertical="center"/>
    </xf>
    <xf numFmtId="0" fontId="8" fillId="4" borderId="8" xfId="0" applyFont="1" applyFill="1" applyBorder="1"/>
    <xf numFmtId="0" fontId="8" fillId="4" borderId="9" xfId="0" applyFont="1" applyFill="1" applyBorder="1"/>
    <xf numFmtId="0" fontId="9" fillId="4" borderId="9" xfId="0" applyFont="1" applyFill="1" applyBorder="1"/>
    <xf numFmtId="0" fontId="8" fillId="4" borderId="10" xfId="0" applyFont="1" applyFill="1" applyBorder="1"/>
    <xf numFmtId="0" fontId="10" fillId="4" borderId="9" xfId="0" applyFont="1" applyFill="1" applyBorder="1"/>
    <xf numFmtId="0" fontId="1" fillId="4" borderId="11" xfId="0" applyFont="1" applyFill="1" applyBorder="1"/>
    <xf numFmtId="0" fontId="4" fillId="4" borderId="12" xfId="0" applyFont="1" applyFill="1" applyBorder="1" applyAlignment="1">
      <alignment horizontal="center" vertical="center"/>
    </xf>
    <xf numFmtId="0" fontId="1" fillId="4" borderId="13" xfId="0" applyFont="1" applyFill="1" applyBorder="1"/>
    <xf numFmtId="0" fontId="1" fillId="4" borderId="14" xfId="0" applyFont="1" applyFill="1" applyBorder="1"/>
    <xf numFmtId="0" fontId="4" fillId="4" borderId="14" xfId="0" applyFont="1" applyFill="1" applyBorder="1"/>
    <xf numFmtId="0" fontId="8" fillId="4" borderId="0" xfId="0" applyFont="1" applyFill="1"/>
    <xf numFmtId="2" fontId="4" fillId="5" borderId="1" xfId="0" applyNumberFormat="1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/>
    </xf>
    <xf numFmtId="0" fontId="2" fillId="4" borderId="17" xfId="0" applyFont="1" applyFill="1" applyBorder="1"/>
    <xf numFmtId="0" fontId="11" fillId="4" borderId="19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5" borderId="14" xfId="0" applyFont="1" applyFill="1" applyBorder="1"/>
    <xf numFmtId="2" fontId="4" fillId="5" borderId="2" xfId="0" applyNumberFormat="1" applyFont="1" applyFill="1" applyBorder="1" applyAlignment="1">
      <alignment horizontal="center" vertical="center"/>
    </xf>
    <xf numFmtId="2" fontId="12" fillId="5" borderId="7" xfId="0" applyNumberFormat="1" applyFont="1" applyFill="1" applyBorder="1" applyAlignment="1">
      <alignment horizontal="center" vertical="center"/>
    </xf>
    <xf numFmtId="0" fontId="10" fillId="4" borderId="5" xfId="0" applyFont="1" applyFill="1" applyBorder="1"/>
    <xf numFmtId="0" fontId="2" fillId="4" borderId="14" xfId="0" applyFont="1" applyFill="1" applyBorder="1"/>
    <xf numFmtId="2" fontId="2" fillId="5" borderId="3" xfId="0" applyNumberFormat="1" applyFont="1" applyFill="1" applyBorder="1" applyAlignment="1">
      <alignment horizontal="center" vertical="center"/>
    </xf>
    <xf numFmtId="164" fontId="12" fillId="4" borderId="7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 wrapText="1"/>
    </xf>
    <xf numFmtId="0" fontId="10" fillId="4" borderId="18" xfId="0" applyFont="1" applyFill="1" applyBorder="1"/>
    <xf numFmtId="0" fontId="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5" fillId="0" borderId="7" xfId="0" applyFont="1" applyBorder="1" applyAlignment="1">
      <alignment horizontal="left" vertical="center" wrapText="1"/>
    </xf>
    <xf numFmtId="0" fontId="10" fillId="0" borderId="9" xfId="0" applyFont="1" applyBorder="1"/>
    <xf numFmtId="0" fontId="2" fillId="0" borderId="0" xfId="0" applyFont="1"/>
    <xf numFmtId="0" fontId="1" fillId="0" borderId="0" xfId="0" applyFont="1"/>
    <xf numFmtId="0" fontId="10" fillId="0" borderId="5" xfId="0" applyFont="1" applyBorder="1"/>
    <xf numFmtId="0" fontId="5" fillId="0" borderId="1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0" fillId="0" borderId="18" xfId="0" applyFont="1" applyBorder="1"/>
    <xf numFmtId="0" fontId="2" fillId="0" borderId="17" xfId="0" applyFont="1" applyBorder="1"/>
    <xf numFmtId="0" fontId="2" fillId="2" borderId="5" xfId="0" applyFont="1" applyFill="1" applyBorder="1" applyAlignment="1">
      <alignment horizontal="center" wrapText="1"/>
    </xf>
    <xf numFmtId="2" fontId="4" fillId="6" borderId="1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wrapText="1"/>
    </xf>
    <xf numFmtId="0" fontId="2" fillId="6" borderId="12" xfId="0" applyFont="1" applyFill="1" applyBorder="1" applyAlignment="1">
      <alignment horizontal="center" vertical="center"/>
    </xf>
    <xf numFmtId="0" fontId="2" fillId="6" borderId="14" xfId="0" applyFont="1" applyFill="1" applyBorder="1"/>
    <xf numFmtId="0" fontId="10" fillId="3" borderId="5" xfId="0" applyFont="1" applyFill="1" applyBorder="1" applyAlignment="1">
      <alignment wrapText="1"/>
    </xf>
    <xf numFmtId="2" fontId="2" fillId="6" borderId="3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0" fillId="7" borderId="0" xfId="0" applyFill="1"/>
    <xf numFmtId="0" fontId="15" fillId="8" borderId="23" xfId="0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49" fontId="17" fillId="8" borderId="33" xfId="0" applyNumberFormat="1" applyFont="1" applyFill="1" applyBorder="1" applyAlignment="1">
      <alignment horizontal="left" vertical="center"/>
    </xf>
    <xf numFmtId="49" fontId="17" fillId="8" borderId="34" xfId="0" applyNumberFormat="1" applyFont="1" applyFill="1" applyBorder="1" applyAlignment="1">
      <alignment horizontal="center" vertical="center"/>
    </xf>
    <xf numFmtId="165" fontId="17" fillId="8" borderId="34" xfId="0" applyNumberFormat="1" applyFont="1" applyFill="1" applyBorder="1" applyAlignment="1">
      <alignment horizontal="center" vertical="center"/>
    </xf>
    <xf numFmtId="4" fontId="17" fillId="8" borderId="35" xfId="0" applyNumberFormat="1" applyFont="1" applyFill="1" applyBorder="1" applyAlignment="1">
      <alignment horizontal="right" vertical="center"/>
    </xf>
    <xf numFmtId="0" fontId="16" fillId="8" borderId="24" xfId="0" applyFont="1" applyFill="1" applyBorder="1" applyAlignment="1">
      <alignment horizontal="center" vertical="center"/>
    </xf>
    <xf numFmtId="49" fontId="17" fillId="8" borderId="25" xfId="0" applyNumberFormat="1" applyFont="1" applyFill="1" applyBorder="1" applyAlignment="1">
      <alignment horizontal="left" vertical="center"/>
    </xf>
    <xf numFmtId="49" fontId="17" fillId="8" borderId="26" xfId="0" applyNumberFormat="1" applyFont="1" applyFill="1" applyBorder="1" applyAlignment="1">
      <alignment horizontal="center" vertical="center"/>
    </xf>
    <xf numFmtId="165" fontId="17" fillId="8" borderId="26" xfId="0" applyNumberFormat="1" applyFont="1" applyFill="1" applyBorder="1" applyAlignment="1">
      <alignment horizontal="center" vertical="center"/>
    </xf>
    <xf numFmtId="4" fontId="17" fillId="8" borderId="27" xfId="0" applyNumberFormat="1" applyFont="1" applyFill="1" applyBorder="1" applyAlignment="1">
      <alignment horizontal="right" vertical="center"/>
    </xf>
    <xf numFmtId="0" fontId="18" fillId="8" borderId="24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49" fontId="19" fillId="9" borderId="29" xfId="0" applyNumberFormat="1" applyFont="1" applyFill="1" applyBorder="1" applyAlignment="1">
      <alignment horizontal="center" vertical="center"/>
    </xf>
    <xf numFmtId="49" fontId="19" fillId="9" borderId="30" xfId="0" applyNumberFormat="1" applyFont="1" applyFill="1" applyBorder="1" applyAlignment="1">
      <alignment horizontal="center" vertical="center"/>
    </xf>
    <xf numFmtId="165" fontId="19" fillId="9" borderId="30" xfId="0" applyNumberFormat="1" applyFont="1" applyFill="1" applyBorder="1" applyAlignment="1">
      <alignment horizontal="center" vertical="center"/>
    </xf>
    <xf numFmtId="4" fontId="19" fillId="9" borderId="31" xfId="0" applyNumberFormat="1" applyFont="1" applyFill="1" applyBorder="1" applyAlignment="1">
      <alignment horizontal="right" vertical="center"/>
    </xf>
    <xf numFmtId="4" fontId="20" fillId="8" borderId="35" xfId="0" applyNumberFormat="1" applyFont="1" applyFill="1" applyBorder="1" applyAlignment="1">
      <alignment horizontal="right" vertical="center"/>
    </xf>
    <xf numFmtId="4" fontId="19" fillId="10" borderId="31" xfId="0" applyNumberFormat="1" applyFont="1" applyFill="1" applyBorder="1" applyAlignment="1">
      <alignment horizontal="right" vertical="center"/>
    </xf>
    <xf numFmtId="49" fontId="19" fillId="9" borderId="29" xfId="0" applyNumberFormat="1" applyFont="1" applyFill="1" applyBorder="1" applyAlignment="1">
      <alignment horizontal="left" vertical="center"/>
    </xf>
    <xf numFmtId="0" fontId="34" fillId="12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center" vertical="center"/>
    </xf>
    <xf numFmtId="0" fontId="21" fillId="2" borderId="0" xfId="0" applyFont="1" applyFill="1"/>
    <xf numFmtId="2" fontId="22" fillId="2" borderId="1" xfId="0" applyNumberFormat="1" applyFont="1" applyFill="1" applyBorder="1" applyAlignment="1">
      <alignment horizontal="center" vertical="center"/>
    </xf>
    <xf numFmtId="2" fontId="23" fillId="2" borderId="1" xfId="0" applyNumberFormat="1" applyFont="1" applyFill="1" applyBorder="1" applyAlignment="1">
      <alignment horizontal="center" vertical="center"/>
    </xf>
    <xf numFmtId="2" fontId="23" fillId="11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3" fillId="2" borderId="2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2" fontId="24" fillId="3" borderId="3" xfId="0" applyNumberFormat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vertical="center"/>
    </xf>
    <xf numFmtId="0" fontId="24" fillId="2" borderId="5" xfId="0" applyFont="1" applyFill="1" applyBorder="1"/>
    <xf numFmtId="0" fontId="25" fillId="2" borderId="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wrapText="1"/>
    </xf>
    <xf numFmtId="0" fontId="25" fillId="2" borderId="6" xfId="0" applyFont="1" applyFill="1" applyBorder="1" applyAlignment="1">
      <alignment horizontal="center"/>
    </xf>
    <xf numFmtId="0" fontId="25" fillId="2" borderId="7" xfId="0" applyFont="1" applyFill="1" applyBorder="1" applyAlignment="1">
      <alignment horizontal="left" vertical="center" wrapText="1"/>
    </xf>
    <xf numFmtId="0" fontId="26" fillId="2" borderId="7" xfId="0" applyFont="1" applyFill="1" applyBorder="1" applyAlignment="1">
      <alignment horizontal="center" vertical="center" wrapText="1"/>
    </xf>
    <xf numFmtId="2" fontId="27" fillId="2" borderId="7" xfId="0" applyNumberFormat="1" applyFont="1" applyFill="1" applyBorder="1" applyAlignment="1">
      <alignment horizontal="center" vertical="center"/>
    </xf>
    <xf numFmtId="0" fontId="26" fillId="11" borderId="7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8" fillId="2" borderId="8" xfId="0" applyFont="1" applyFill="1" applyBorder="1"/>
    <xf numFmtId="0" fontId="28" fillId="2" borderId="9" xfId="0" applyFont="1" applyFill="1" applyBorder="1"/>
    <xf numFmtId="0" fontId="29" fillId="2" borderId="9" xfId="0" applyFont="1" applyFill="1" applyBorder="1"/>
    <xf numFmtId="0" fontId="28" fillId="2" borderId="10" xfId="0" applyFont="1" applyFill="1" applyBorder="1"/>
    <xf numFmtId="0" fontId="30" fillId="2" borderId="9" xfId="0" applyFont="1" applyFill="1" applyBorder="1"/>
    <xf numFmtId="0" fontId="30" fillId="3" borderId="9" xfId="0" applyFont="1" applyFill="1" applyBorder="1" applyAlignment="1">
      <alignment wrapText="1"/>
    </xf>
    <xf numFmtId="0" fontId="21" fillId="2" borderId="11" xfId="0" applyFont="1" applyFill="1" applyBorder="1"/>
    <xf numFmtId="0" fontId="24" fillId="2" borderId="12" xfId="0" applyFont="1" applyFill="1" applyBorder="1" applyAlignment="1">
      <alignment horizontal="center" vertical="center"/>
    </xf>
    <xf numFmtId="0" fontId="24" fillId="11" borderId="12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2" borderId="0" xfId="0" applyFont="1" applyFill="1"/>
    <xf numFmtId="0" fontId="21" fillId="2" borderId="13" xfId="0" applyFont="1" applyFill="1" applyBorder="1"/>
    <xf numFmtId="0" fontId="21" fillId="2" borderId="14" xfId="0" applyFont="1" applyFill="1" applyBorder="1"/>
    <xf numFmtId="0" fontId="24" fillId="2" borderId="14" xfId="0" applyFont="1" applyFill="1" applyBorder="1"/>
    <xf numFmtId="0" fontId="24" fillId="11" borderId="14" xfId="0" applyFont="1" applyFill="1" applyBorder="1"/>
    <xf numFmtId="0" fontId="24" fillId="3" borderId="14" xfId="0" applyFont="1" applyFill="1" applyBorder="1"/>
    <xf numFmtId="0" fontId="28" fillId="2" borderId="0" xfId="0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/>
    </xf>
    <xf numFmtId="0" fontId="24" fillId="2" borderId="16" xfId="0" applyFont="1" applyFill="1" applyBorder="1"/>
    <xf numFmtId="0" fontId="24" fillId="2" borderId="17" xfId="0" applyFont="1" applyFill="1" applyBorder="1"/>
    <xf numFmtId="0" fontId="30" fillId="2" borderId="5" xfId="0" applyFont="1" applyFill="1" applyBorder="1"/>
    <xf numFmtId="0" fontId="30" fillId="3" borderId="5" xfId="0" applyFont="1" applyFill="1" applyBorder="1" applyAlignment="1">
      <alignment wrapText="1"/>
    </xf>
    <xf numFmtId="0" fontId="31" fillId="2" borderId="7" xfId="0" applyFont="1" applyFill="1" applyBorder="1" applyAlignment="1">
      <alignment horizontal="center" vertical="center" wrapText="1"/>
    </xf>
    <xf numFmtId="164" fontId="32" fillId="2" borderId="7" xfId="0" applyNumberFormat="1" applyFont="1" applyFill="1" applyBorder="1" applyAlignment="1">
      <alignment horizontal="center" vertical="center"/>
    </xf>
    <xf numFmtId="2" fontId="32" fillId="2" borderId="7" xfId="0" applyNumberFormat="1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left" vertical="center" wrapText="1"/>
    </xf>
    <xf numFmtId="0" fontId="23" fillId="2" borderId="12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3" fillId="2" borderId="14" xfId="0" applyFont="1" applyFill="1" applyBorder="1"/>
    <xf numFmtId="0" fontId="23" fillId="2" borderId="0" xfId="0" applyFont="1" applyFill="1"/>
    <xf numFmtId="2" fontId="27" fillId="3" borderId="7" xfId="0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left" vertical="center" wrapText="1"/>
    </xf>
    <xf numFmtId="0" fontId="30" fillId="2" borderId="18" xfId="0" applyFont="1" applyFill="1" applyBorder="1"/>
    <xf numFmtId="0" fontId="30" fillId="3" borderId="18" xfId="0" applyFont="1" applyFill="1" applyBorder="1" applyAlignment="1">
      <alignment wrapText="1"/>
    </xf>
    <xf numFmtId="2" fontId="23" fillId="3" borderId="2" xfId="0" applyNumberFormat="1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0" fontId="26" fillId="14" borderId="7" xfId="0" applyFont="1" applyFill="1" applyBorder="1" applyAlignment="1">
      <alignment horizontal="center" vertical="center" wrapText="1"/>
    </xf>
    <xf numFmtId="2" fontId="23" fillId="14" borderId="1" xfId="0" applyNumberFormat="1" applyFont="1" applyFill="1" applyBorder="1" applyAlignment="1">
      <alignment horizontal="center" vertical="center"/>
    </xf>
    <xf numFmtId="0" fontId="24" fillId="14" borderId="12" xfId="0" applyFont="1" applyFill="1" applyBorder="1" applyAlignment="1">
      <alignment horizontal="center" vertical="center"/>
    </xf>
    <xf numFmtId="0" fontId="24" fillId="14" borderId="14" xfId="0" applyFont="1" applyFill="1" applyBorder="1"/>
    <xf numFmtId="0" fontId="23" fillId="14" borderId="12" xfId="0" applyFont="1" applyFill="1" applyBorder="1" applyAlignment="1">
      <alignment horizontal="center" vertical="center"/>
    </xf>
    <xf numFmtId="0" fontId="14" fillId="8" borderId="2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11" sqref="F1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O178"/>
  <sheetViews>
    <sheetView tabSelected="1" zoomScale="55" workbookViewId="0">
      <selection activeCell="D171" sqref="D171"/>
    </sheetView>
  </sheetViews>
  <sheetFormatPr defaultColWidth="8.6640625" defaultRowHeight="14.4" x14ac:dyDescent="0.3"/>
  <cols>
    <col min="1" max="1" width="8.6640625" customWidth="1"/>
    <col min="2" max="2" width="37.109375" customWidth="1"/>
    <col min="3" max="3" width="14.88671875" customWidth="1"/>
    <col min="4" max="4" width="18.5546875" customWidth="1"/>
    <col min="5" max="5" width="14.88671875" customWidth="1"/>
    <col min="30" max="30" width="10.33203125" customWidth="1"/>
    <col min="31" max="31" width="16.5546875" customWidth="1"/>
    <col min="32" max="32" width="10.6640625" bestFit="1" customWidth="1"/>
    <col min="33" max="33" width="12.44140625" customWidth="1"/>
    <col min="34" max="34" width="11.5546875" customWidth="1"/>
    <col min="35" max="35" width="8.6640625" customWidth="1"/>
    <col min="36" max="36" width="14.109375" customWidth="1"/>
    <col min="37" max="37" width="12" customWidth="1"/>
    <col min="38" max="38" width="13.5546875" customWidth="1"/>
    <col min="39" max="39" width="27.5546875" customWidth="1"/>
    <col min="40" max="41" width="36.109375" customWidth="1"/>
  </cols>
  <sheetData>
    <row r="3" spans="1:41" ht="27.75" customHeight="1" thickBot="1" x14ac:dyDescent="0.45"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</row>
    <row r="4" spans="1:41" ht="27.75" customHeight="1" thickTop="1" thickBot="1" x14ac:dyDescent="0.45">
      <c r="B4" s="136"/>
      <c r="C4" s="137">
        <v>1.06</v>
      </c>
      <c r="D4" s="138">
        <v>2.06</v>
      </c>
      <c r="E4" s="138">
        <v>3.06</v>
      </c>
      <c r="F4" s="138">
        <v>4.0599999999999996</v>
      </c>
      <c r="G4" s="138">
        <v>5.0599999999999996</v>
      </c>
      <c r="H4" s="138">
        <v>6.06</v>
      </c>
      <c r="I4" s="138">
        <v>8.06</v>
      </c>
      <c r="J4" s="138">
        <v>9.06</v>
      </c>
      <c r="K4" s="138">
        <v>10.06</v>
      </c>
      <c r="L4" s="138">
        <v>11.06</v>
      </c>
      <c r="M4" s="138">
        <v>12.06</v>
      </c>
      <c r="N4" s="138">
        <v>13.06</v>
      </c>
      <c r="O4" s="138">
        <v>15.06</v>
      </c>
      <c r="P4" s="138">
        <v>16.059999999999999</v>
      </c>
      <c r="Q4" s="138">
        <v>17.059999999999999</v>
      </c>
      <c r="R4" s="138">
        <v>18.059999999999999</v>
      </c>
      <c r="S4" s="138">
        <v>19.059999999999999</v>
      </c>
      <c r="T4" s="138">
        <v>20.059999999999999</v>
      </c>
      <c r="U4" s="194">
        <v>22.06</v>
      </c>
      <c r="V4" s="138">
        <v>23.06</v>
      </c>
      <c r="W4" s="138">
        <v>24.06</v>
      </c>
      <c r="X4" s="141">
        <v>25.06</v>
      </c>
      <c r="Y4" s="142">
        <v>26.06</v>
      </c>
      <c r="Z4" s="142">
        <v>27.06</v>
      </c>
      <c r="AA4" s="142">
        <v>29.06</v>
      </c>
      <c r="AB4" s="142">
        <v>30.06</v>
      </c>
      <c r="AC4" s="144" t="s">
        <v>1</v>
      </c>
      <c r="AD4" s="145" t="s">
        <v>2</v>
      </c>
      <c r="AE4" s="146" t="s">
        <v>3</v>
      </c>
      <c r="AF4" s="147" t="s">
        <v>4</v>
      </c>
      <c r="AG4" s="147" t="s">
        <v>5</v>
      </c>
      <c r="AH4" s="145" t="s">
        <v>6</v>
      </c>
      <c r="AI4" s="145" t="s">
        <v>7</v>
      </c>
      <c r="AJ4" s="148" t="s">
        <v>8</v>
      </c>
      <c r="AK4" s="145" t="s">
        <v>9</v>
      </c>
      <c r="AL4" s="145" t="s">
        <v>10</v>
      </c>
      <c r="AM4" s="149" t="s">
        <v>11</v>
      </c>
      <c r="AN4" s="145" t="s">
        <v>12</v>
      </c>
      <c r="AO4" s="150" t="s">
        <v>13</v>
      </c>
    </row>
    <row r="5" spans="1:41" ht="48" customHeight="1" thickTop="1" thickBot="1" x14ac:dyDescent="0.65">
      <c r="A5" s="151"/>
      <c r="B5" s="152" t="s">
        <v>140</v>
      </c>
      <c r="C5" s="153">
        <v>200</v>
      </c>
      <c r="D5" s="153">
        <v>163.75</v>
      </c>
      <c r="E5" s="154">
        <v>197</v>
      </c>
      <c r="F5" s="153">
        <f>177.75+8/6</f>
        <v>179.08333333333334</v>
      </c>
      <c r="G5" s="153">
        <f>136.75+38/6</f>
        <v>143.08333333333334</v>
      </c>
      <c r="H5" s="153">
        <v>201.75</v>
      </c>
      <c r="I5" s="153">
        <v>188.5</v>
      </c>
      <c r="J5" s="153">
        <v>172.75</v>
      </c>
      <c r="K5" s="153">
        <f>131+17/6</f>
        <v>133.83333333333334</v>
      </c>
      <c r="L5" s="195">
        <v>0</v>
      </c>
      <c r="M5" s="153">
        <v>205</v>
      </c>
      <c r="N5" s="153">
        <f>196.5+10/6</f>
        <v>198.16666666666666</v>
      </c>
      <c r="O5" s="153">
        <v>195.25</v>
      </c>
      <c r="P5" s="153">
        <v>171</v>
      </c>
      <c r="Q5" s="195">
        <v>0</v>
      </c>
      <c r="R5" s="195">
        <v>0</v>
      </c>
      <c r="S5" s="153">
        <v>197</v>
      </c>
      <c r="T5" s="153">
        <v>200.5</v>
      </c>
      <c r="U5" s="153">
        <f>205.25+5/6</f>
        <v>206.08333333333334</v>
      </c>
      <c r="V5" s="153">
        <v>197.5</v>
      </c>
      <c r="W5" s="153">
        <f>171.5+59/6</f>
        <v>181.33333333333334</v>
      </c>
      <c r="X5" s="195">
        <v>0</v>
      </c>
      <c r="Y5" s="153">
        <f>190+42/6</f>
        <v>197</v>
      </c>
      <c r="Z5" s="153">
        <v>147.5</v>
      </c>
      <c r="AA5" s="153">
        <v>144.75</v>
      </c>
      <c r="AB5" s="153">
        <f>149.5+14/6</f>
        <v>151.83333333333334</v>
      </c>
      <c r="AC5" s="157">
        <f>SUM(C5:AB5)</f>
        <v>3972.6666666666674</v>
      </c>
      <c r="AD5" s="158">
        <v>22</v>
      </c>
      <c r="AE5" s="158">
        <f>AD5*$AE$11</f>
        <v>3740</v>
      </c>
      <c r="AF5" s="158">
        <f>AC5-AE5</f>
        <v>232.66666666666742</v>
      </c>
      <c r="AG5" s="158">
        <f>$AG$11</f>
        <v>26</v>
      </c>
      <c r="AH5" s="158">
        <f>AF5/175</f>
        <v>1.3295238095238138</v>
      </c>
      <c r="AI5" s="158">
        <f>AK5/AG5</f>
        <v>14.615384615384615</v>
      </c>
      <c r="AJ5" s="159">
        <f>AI5*AH5</f>
        <v>19.431501831501894</v>
      </c>
      <c r="AK5" s="158">
        <v>380</v>
      </c>
      <c r="AL5" s="160">
        <f>AK5+AJ5</f>
        <v>399.43150183150192</v>
      </c>
      <c r="AM5" s="152" t="s">
        <v>140</v>
      </c>
      <c r="AN5" s="161">
        <v>500</v>
      </c>
      <c r="AO5" s="161"/>
    </row>
    <row r="6" spans="1:41" ht="27.75" customHeight="1" thickTop="1" x14ac:dyDescent="0.4">
      <c r="A6" s="163"/>
      <c r="B6" s="136" t="s">
        <v>16</v>
      </c>
      <c r="C6" s="164">
        <v>14.8</v>
      </c>
      <c r="D6" s="164">
        <v>15</v>
      </c>
      <c r="E6" s="164">
        <v>14.8</v>
      </c>
      <c r="F6" s="164">
        <v>13.2</v>
      </c>
      <c r="G6" s="164">
        <v>15</v>
      </c>
      <c r="H6" s="164">
        <v>15</v>
      </c>
      <c r="I6" s="164">
        <v>14</v>
      </c>
      <c r="J6" s="164">
        <v>13.4</v>
      </c>
      <c r="K6" s="164">
        <v>14</v>
      </c>
      <c r="L6" s="164">
        <v>13</v>
      </c>
      <c r="M6" s="164">
        <v>15</v>
      </c>
      <c r="N6" s="164">
        <v>15</v>
      </c>
      <c r="O6" s="164">
        <v>14</v>
      </c>
      <c r="P6" s="164">
        <v>14.25</v>
      </c>
      <c r="Q6" s="164">
        <v>14.17</v>
      </c>
      <c r="R6" s="164">
        <v>15</v>
      </c>
      <c r="S6" s="164">
        <v>13</v>
      </c>
      <c r="T6" s="164">
        <v>16</v>
      </c>
      <c r="U6" s="164">
        <v>15</v>
      </c>
      <c r="V6" s="164">
        <v>15</v>
      </c>
      <c r="W6" s="164">
        <v>14</v>
      </c>
      <c r="X6" s="164">
        <v>15</v>
      </c>
      <c r="Y6" s="164">
        <v>15</v>
      </c>
      <c r="Z6" s="164">
        <v>14</v>
      </c>
      <c r="AA6" s="164">
        <v>15</v>
      </c>
      <c r="AB6" s="164">
        <v>14</v>
      </c>
    </row>
    <row r="7" spans="1:41" ht="27.75" customHeight="1" x14ac:dyDescent="0.4">
      <c r="A7" s="163"/>
      <c r="B7" s="136" t="s">
        <v>17</v>
      </c>
      <c r="C7" s="164">
        <f t="shared" ref="C7:AB7" si="0">IF(C6&gt;0,C5/C6,0)</f>
        <v>13.513513513513512</v>
      </c>
      <c r="D7" s="164">
        <f t="shared" si="0"/>
        <v>10.916666666666666</v>
      </c>
      <c r="E7" s="164">
        <f t="shared" si="0"/>
        <v>13.310810810810811</v>
      </c>
      <c r="F7" s="164">
        <f t="shared" si="0"/>
        <v>13.566919191919194</v>
      </c>
      <c r="G7" s="164">
        <f t="shared" si="0"/>
        <v>9.5388888888888896</v>
      </c>
      <c r="H7" s="164">
        <f t="shared" si="0"/>
        <v>13.45</v>
      </c>
      <c r="I7" s="164">
        <f t="shared" si="0"/>
        <v>13.464285714285714</v>
      </c>
      <c r="J7" s="164">
        <f t="shared" si="0"/>
        <v>12.891791044776118</v>
      </c>
      <c r="K7" s="164">
        <f t="shared" si="0"/>
        <v>9.5595238095238102</v>
      </c>
      <c r="L7" s="164">
        <f t="shared" si="0"/>
        <v>0</v>
      </c>
      <c r="M7" s="164">
        <f t="shared" si="0"/>
        <v>13.666666666666666</v>
      </c>
      <c r="N7" s="164">
        <f t="shared" si="0"/>
        <v>13.21111111111111</v>
      </c>
      <c r="O7" s="164">
        <f t="shared" si="0"/>
        <v>13.946428571428571</v>
      </c>
      <c r="P7" s="164">
        <f t="shared" si="0"/>
        <v>12</v>
      </c>
      <c r="Q7" s="164">
        <f t="shared" si="0"/>
        <v>0</v>
      </c>
      <c r="R7" s="164">
        <f t="shared" si="0"/>
        <v>0</v>
      </c>
      <c r="S7" s="164">
        <f t="shared" si="0"/>
        <v>15.153846153846153</v>
      </c>
      <c r="T7" s="164">
        <f t="shared" si="0"/>
        <v>12.53125</v>
      </c>
      <c r="U7" s="164">
        <f t="shared" si="0"/>
        <v>13.738888888888889</v>
      </c>
      <c r="V7" s="164">
        <f t="shared" si="0"/>
        <v>13.166666666666666</v>
      </c>
      <c r="W7" s="164">
        <f t="shared" si="0"/>
        <v>12.952380952380953</v>
      </c>
      <c r="X7" s="164">
        <f t="shared" si="0"/>
        <v>0</v>
      </c>
      <c r="Y7" s="164">
        <f t="shared" si="0"/>
        <v>13.133333333333333</v>
      </c>
      <c r="Z7" s="164">
        <f t="shared" si="0"/>
        <v>10.535714285714286</v>
      </c>
      <c r="AA7" s="164">
        <f t="shared" si="0"/>
        <v>9.65</v>
      </c>
      <c r="AB7" s="164">
        <f t="shared" si="0"/>
        <v>10.845238095238097</v>
      </c>
      <c r="AC7" s="167">
        <f>SUM(C7:AB7)</f>
        <v>274.74392436565944</v>
      </c>
      <c r="AE7" s="136" t="s">
        <v>18</v>
      </c>
      <c r="AG7" s="136">
        <f>AI5/11.5</f>
        <v>1.2709030100334449</v>
      </c>
    </row>
    <row r="8" spans="1:41" ht="27.75" customHeight="1" x14ac:dyDescent="0.4">
      <c r="A8" s="163"/>
      <c r="B8" s="136" t="s">
        <v>19</v>
      </c>
      <c r="C8" s="184">
        <f t="shared" ref="C8:AB8" si="1">IF(C6&gt;0,11.5,0)</f>
        <v>11.5</v>
      </c>
      <c r="D8" s="164">
        <f t="shared" si="1"/>
        <v>11.5</v>
      </c>
      <c r="E8" s="184">
        <f t="shared" si="1"/>
        <v>11.5</v>
      </c>
      <c r="F8" s="184">
        <f t="shared" si="1"/>
        <v>11.5</v>
      </c>
      <c r="G8" s="184">
        <f t="shared" si="1"/>
        <v>11.5</v>
      </c>
      <c r="H8" s="184">
        <f t="shared" si="1"/>
        <v>11.5</v>
      </c>
      <c r="I8" s="184">
        <f t="shared" si="1"/>
        <v>11.5</v>
      </c>
      <c r="J8" s="164">
        <f t="shared" si="1"/>
        <v>11.5</v>
      </c>
      <c r="K8" s="184">
        <f t="shared" si="1"/>
        <v>11.5</v>
      </c>
      <c r="L8" s="184">
        <v>0</v>
      </c>
      <c r="M8" s="184">
        <f t="shared" si="1"/>
        <v>11.5</v>
      </c>
      <c r="N8" s="184">
        <f t="shared" si="1"/>
        <v>11.5</v>
      </c>
      <c r="O8" s="184">
        <f t="shared" si="1"/>
        <v>11.5</v>
      </c>
      <c r="P8" s="164">
        <f t="shared" si="1"/>
        <v>11.5</v>
      </c>
      <c r="Q8" s="164">
        <v>0</v>
      </c>
      <c r="R8" s="184">
        <v>0</v>
      </c>
      <c r="S8" s="184">
        <f t="shared" si="1"/>
        <v>11.5</v>
      </c>
      <c r="T8" s="184">
        <f t="shared" si="1"/>
        <v>11.5</v>
      </c>
      <c r="U8" s="164">
        <f t="shared" si="1"/>
        <v>11.5</v>
      </c>
      <c r="V8" s="184">
        <f t="shared" si="1"/>
        <v>11.5</v>
      </c>
      <c r="W8" s="184">
        <f t="shared" si="1"/>
        <v>11.5</v>
      </c>
      <c r="X8" s="184">
        <v>0</v>
      </c>
      <c r="Y8" s="184">
        <f t="shared" si="1"/>
        <v>11.5</v>
      </c>
      <c r="Z8" s="184">
        <f t="shared" si="1"/>
        <v>11.5</v>
      </c>
      <c r="AA8" s="184">
        <f t="shared" si="1"/>
        <v>11.5</v>
      </c>
      <c r="AB8" s="184">
        <f t="shared" si="1"/>
        <v>11.5</v>
      </c>
      <c r="AC8" s="167">
        <f>SUM(C8:AB8)</f>
        <v>253</v>
      </c>
      <c r="AE8" s="136" t="s">
        <v>20</v>
      </c>
      <c r="AG8" s="136">
        <f>AC9*AG7</f>
        <v>27.634418926256135</v>
      </c>
    </row>
    <row r="9" spans="1:41" ht="27.75" customHeight="1" thickBot="1" x14ac:dyDescent="0.45">
      <c r="A9" s="168"/>
      <c r="B9" s="169" t="s">
        <v>21</v>
      </c>
      <c r="C9" s="170">
        <f t="shared" ref="C9:AB9" si="2">IF(C6&gt;0,C7-C8,0)</f>
        <v>2.0135135135135123</v>
      </c>
      <c r="D9" s="170">
        <f t="shared" si="2"/>
        <v>-0.58333333333333393</v>
      </c>
      <c r="E9" s="170">
        <f t="shared" si="2"/>
        <v>1.8108108108108105</v>
      </c>
      <c r="F9" s="170">
        <f t="shared" si="2"/>
        <v>2.0669191919191938</v>
      </c>
      <c r="G9" s="170">
        <f t="shared" si="2"/>
        <v>-1.9611111111111104</v>
      </c>
      <c r="H9" s="170">
        <f t="shared" si="2"/>
        <v>1.9499999999999993</v>
      </c>
      <c r="I9" s="170">
        <f t="shared" si="2"/>
        <v>1.9642857142857135</v>
      </c>
      <c r="J9" s="170">
        <f t="shared" si="2"/>
        <v>1.3917910447761184</v>
      </c>
      <c r="K9" s="170">
        <f t="shared" si="2"/>
        <v>-1.9404761904761898</v>
      </c>
      <c r="L9" s="170">
        <f t="shared" si="2"/>
        <v>0</v>
      </c>
      <c r="M9" s="170">
        <f t="shared" si="2"/>
        <v>2.1666666666666661</v>
      </c>
      <c r="N9" s="170">
        <f t="shared" si="2"/>
        <v>1.7111111111111104</v>
      </c>
      <c r="O9" s="170">
        <f t="shared" si="2"/>
        <v>2.4464285714285712</v>
      </c>
      <c r="P9" s="170">
        <f t="shared" si="2"/>
        <v>0.5</v>
      </c>
      <c r="Q9" s="170">
        <f t="shared" si="2"/>
        <v>0</v>
      </c>
      <c r="R9" s="170">
        <f t="shared" si="2"/>
        <v>0</v>
      </c>
      <c r="S9" s="170">
        <f t="shared" si="2"/>
        <v>3.6538461538461533</v>
      </c>
      <c r="T9" s="170">
        <f t="shared" si="2"/>
        <v>1.03125</v>
      </c>
      <c r="U9" s="170">
        <f t="shared" si="2"/>
        <v>2.2388888888888889</v>
      </c>
      <c r="V9" s="170">
        <f t="shared" si="2"/>
        <v>1.6666666666666661</v>
      </c>
      <c r="W9" s="170">
        <f t="shared" si="2"/>
        <v>1.4523809523809526</v>
      </c>
      <c r="X9" s="170">
        <f t="shared" si="2"/>
        <v>0</v>
      </c>
      <c r="Y9" s="170">
        <f t="shared" si="2"/>
        <v>1.6333333333333329</v>
      </c>
      <c r="Z9" s="170">
        <f t="shared" si="2"/>
        <v>-0.96428571428571352</v>
      </c>
      <c r="AA9" s="170">
        <f t="shared" si="2"/>
        <v>-1.8499999999999996</v>
      </c>
      <c r="AB9" s="170">
        <f t="shared" si="2"/>
        <v>-0.65476190476190332</v>
      </c>
      <c r="AC9" s="167">
        <f>SUM(C9:AB9)</f>
        <v>21.743924365659431</v>
      </c>
      <c r="AH9">
        <f>AF9/175</f>
        <v>0</v>
      </c>
    </row>
    <row r="10" spans="1:41" ht="15" thickTop="1" x14ac:dyDescent="0.3"/>
    <row r="11" spans="1:41" ht="27.75" customHeight="1" x14ac:dyDescent="0.3">
      <c r="AE11" s="134">
        <v>170</v>
      </c>
      <c r="AG11" s="135">
        <v>26</v>
      </c>
    </row>
    <row r="12" spans="1:41" ht="27.75" customHeight="1" x14ac:dyDescent="0.4">
      <c r="B12" s="136" t="s">
        <v>0</v>
      </c>
      <c r="C12" s="137">
        <v>1.06</v>
      </c>
      <c r="D12" s="138">
        <v>2.06</v>
      </c>
      <c r="E12" s="138">
        <v>3.06</v>
      </c>
      <c r="F12" s="138">
        <v>4.0599999999999996</v>
      </c>
      <c r="G12" s="138">
        <v>5.0599999999999996</v>
      </c>
      <c r="H12" s="138">
        <v>6.06</v>
      </c>
      <c r="I12" s="139">
        <v>8.06</v>
      </c>
      <c r="J12" s="138">
        <v>9.06</v>
      </c>
      <c r="K12" s="138">
        <v>10.06</v>
      </c>
      <c r="L12" s="138">
        <v>11.06</v>
      </c>
      <c r="M12" s="138">
        <v>12.06</v>
      </c>
      <c r="N12" s="138">
        <v>13.06</v>
      </c>
      <c r="O12" s="138">
        <v>15.06</v>
      </c>
      <c r="P12" s="138">
        <v>16.059999999999999</v>
      </c>
      <c r="Q12" s="138">
        <v>17.059999999999999</v>
      </c>
      <c r="R12" s="140">
        <v>18.059999999999999</v>
      </c>
      <c r="S12" s="138">
        <v>19.059999999999999</v>
      </c>
      <c r="T12" s="138">
        <v>20.059999999999999</v>
      </c>
      <c r="U12" s="138">
        <v>22.06</v>
      </c>
      <c r="V12" s="138">
        <v>23.06</v>
      </c>
      <c r="W12" s="138">
        <v>24.06</v>
      </c>
      <c r="X12" s="141">
        <v>25.06</v>
      </c>
      <c r="Y12" s="142">
        <v>26.06</v>
      </c>
      <c r="Z12" s="142">
        <v>27.06</v>
      </c>
      <c r="AA12" s="142">
        <v>29.06</v>
      </c>
      <c r="AB12" s="143">
        <v>30.06</v>
      </c>
      <c r="AC12" s="144" t="s">
        <v>1</v>
      </c>
      <c r="AD12" s="145" t="s">
        <v>2</v>
      </c>
      <c r="AE12" s="146" t="s">
        <v>3</v>
      </c>
      <c r="AF12" s="147" t="s">
        <v>4</v>
      </c>
      <c r="AG12" s="147" t="s">
        <v>5</v>
      </c>
      <c r="AH12" s="145" t="s">
        <v>6</v>
      </c>
      <c r="AI12" s="145" t="s">
        <v>7</v>
      </c>
      <c r="AJ12" s="148" t="s">
        <v>8</v>
      </c>
      <c r="AK12" s="145" t="s">
        <v>9</v>
      </c>
      <c r="AL12" s="145" t="s">
        <v>10</v>
      </c>
      <c r="AM12" s="149" t="s">
        <v>11</v>
      </c>
      <c r="AN12" s="145" t="s">
        <v>12</v>
      </c>
      <c r="AO12" s="150" t="s">
        <v>13</v>
      </c>
    </row>
    <row r="13" spans="1:41" ht="44.25" customHeight="1" x14ac:dyDescent="0.6">
      <c r="A13" s="151">
        <v>1</v>
      </c>
      <c r="B13" s="152" t="s">
        <v>14</v>
      </c>
      <c r="C13" s="153">
        <v>200</v>
      </c>
      <c r="D13" s="153">
        <v>163.75</v>
      </c>
      <c r="E13" s="154">
        <v>197</v>
      </c>
      <c r="F13" s="153">
        <f>177.75+8/6</f>
        <v>179.08333333333334</v>
      </c>
      <c r="G13" s="153">
        <f>136.75+38/6</f>
        <v>143.08333333333334</v>
      </c>
      <c r="H13" s="153">
        <v>201.75</v>
      </c>
      <c r="I13" s="155">
        <v>188.5</v>
      </c>
      <c r="J13" s="153">
        <v>172.75</v>
      </c>
      <c r="K13" s="153">
        <f>131+17/6</f>
        <v>133.83333333333334</v>
      </c>
      <c r="L13" s="153">
        <f>168.5+38/6</f>
        <v>174.83333333333334</v>
      </c>
      <c r="M13" s="153">
        <v>205</v>
      </c>
      <c r="N13" s="153">
        <f>196.5+10/6</f>
        <v>198.16666666666666</v>
      </c>
      <c r="O13" s="153">
        <v>195.25</v>
      </c>
      <c r="P13" s="153">
        <v>171</v>
      </c>
      <c r="Q13" s="153">
        <v>186</v>
      </c>
      <c r="R13" s="156">
        <v>0</v>
      </c>
      <c r="S13" s="153">
        <v>197</v>
      </c>
      <c r="T13" s="153">
        <v>200.5</v>
      </c>
      <c r="U13" s="153">
        <f>205.25+5/6</f>
        <v>206.08333333333334</v>
      </c>
      <c r="V13" s="153">
        <v>197.5</v>
      </c>
      <c r="W13" s="153">
        <f>171.5+59/6</f>
        <v>181.33333333333334</v>
      </c>
      <c r="X13" s="153">
        <v>162.5</v>
      </c>
      <c r="Y13" s="153">
        <f>190+42/6</f>
        <v>197</v>
      </c>
      <c r="Z13" s="153">
        <v>147.5</v>
      </c>
      <c r="AA13" s="153">
        <v>144.75</v>
      </c>
      <c r="AB13" s="156">
        <v>0</v>
      </c>
      <c r="AC13" s="157">
        <f>SUM(C13:AB13)</f>
        <v>4344.166666666667</v>
      </c>
      <c r="AD13" s="158">
        <f>COUNTIF(C14:AB14,"&gt;0")</f>
        <v>24</v>
      </c>
      <c r="AE13" s="158">
        <f>AD13*$AE$11</f>
        <v>4080</v>
      </c>
      <c r="AF13" s="158">
        <f>AC13-AE13</f>
        <v>264.16666666666697</v>
      </c>
      <c r="AG13" s="158">
        <f>$AG$11</f>
        <v>26</v>
      </c>
      <c r="AH13" s="158">
        <f>AF13/175</f>
        <v>1.5095238095238113</v>
      </c>
      <c r="AI13" s="158">
        <f>AK13/AG13</f>
        <v>365.38461538461536</v>
      </c>
      <c r="AJ13" s="159">
        <f>AI13*AH13</f>
        <v>551.55677655677721</v>
      </c>
      <c r="AK13" s="158">
        <v>9500</v>
      </c>
      <c r="AL13" s="160">
        <f>AK13+AJ13</f>
        <v>10051.556776556778</v>
      </c>
      <c r="AM13" s="152" t="s">
        <v>14</v>
      </c>
      <c r="AN13" s="161"/>
      <c r="AO13" s="162" t="s">
        <v>15</v>
      </c>
    </row>
    <row r="14" spans="1:41" ht="27.75" customHeight="1" x14ac:dyDescent="0.4">
      <c r="A14" s="163"/>
      <c r="B14" s="136" t="s">
        <v>16</v>
      </c>
      <c r="C14" s="164">
        <v>14.8</v>
      </c>
      <c r="D14" s="164">
        <v>15</v>
      </c>
      <c r="E14" s="164">
        <v>14.8</v>
      </c>
      <c r="F14" s="164">
        <v>13.2</v>
      </c>
      <c r="G14" s="164">
        <v>15</v>
      </c>
      <c r="H14" s="164">
        <v>15</v>
      </c>
      <c r="I14" s="165">
        <v>14</v>
      </c>
      <c r="J14" s="164">
        <v>13.4</v>
      </c>
      <c r="K14" s="164">
        <v>14</v>
      </c>
      <c r="L14" s="164">
        <v>13</v>
      </c>
      <c r="M14" s="164">
        <v>15</v>
      </c>
      <c r="N14" s="164">
        <v>15</v>
      </c>
      <c r="O14" s="164">
        <v>14</v>
      </c>
      <c r="P14" s="164">
        <v>14.25</v>
      </c>
      <c r="Q14" s="164">
        <v>14.17</v>
      </c>
      <c r="R14" s="166">
        <v>0</v>
      </c>
      <c r="S14" s="164">
        <v>13</v>
      </c>
      <c r="T14" s="164">
        <v>16</v>
      </c>
      <c r="U14" s="164">
        <v>15</v>
      </c>
      <c r="V14" s="164">
        <v>15</v>
      </c>
      <c r="W14" s="164">
        <v>14</v>
      </c>
      <c r="X14" s="164">
        <v>15</v>
      </c>
      <c r="Y14" s="164">
        <v>15</v>
      </c>
      <c r="Z14" s="164">
        <v>14</v>
      </c>
      <c r="AA14" s="164">
        <v>15</v>
      </c>
      <c r="AB14" s="166">
        <v>0</v>
      </c>
    </row>
    <row r="15" spans="1:41" ht="27.75" customHeight="1" x14ac:dyDescent="0.4">
      <c r="A15" s="163"/>
      <c r="B15" s="136" t="s">
        <v>17</v>
      </c>
      <c r="C15" s="164">
        <f t="shared" ref="C15:AB15" si="3">IF(C14&gt;0,C13/C14,0)</f>
        <v>13.513513513513512</v>
      </c>
      <c r="D15" s="164">
        <f t="shared" si="3"/>
        <v>10.916666666666666</v>
      </c>
      <c r="E15" s="164">
        <f t="shared" si="3"/>
        <v>13.310810810810811</v>
      </c>
      <c r="F15" s="164">
        <f t="shared" si="3"/>
        <v>13.566919191919194</v>
      </c>
      <c r="G15" s="164">
        <f t="shared" si="3"/>
        <v>9.5388888888888896</v>
      </c>
      <c r="H15" s="164">
        <f t="shared" si="3"/>
        <v>13.45</v>
      </c>
      <c r="I15" s="165">
        <f t="shared" si="3"/>
        <v>13.464285714285714</v>
      </c>
      <c r="J15" s="164">
        <f t="shared" si="3"/>
        <v>12.891791044776118</v>
      </c>
      <c r="K15" s="164">
        <f t="shared" si="3"/>
        <v>9.5595238095238102</v>
      </c>
      <c r="L15" s="164">
        <f t="shared" si="3"/>
        <v>13.448717948717949</v>
      </c>
      <c r="M15" s="164">
        <f t="shared" si="3"/>
        <v>13.666666666666666</v>
      </c>
      <c r="N15" s="164">
        <f t="shared" si="3"/>
        <v>13.21111111111111</v>
      </c>
      <c r="O15" s="164">
        <f t="shared" si="3"/>
        <v>13.946428571428571</v>
      </c>
      <c r="P15" s="164">
        <f t="shared" si="3"/>
        <v>12</v>
      </c>
      <c r="Q15" s="164">
        <f t="shared" si="3"/>
        <v>13.126323218066338</v>
      </c>
      <c r="R15" s="166">
        <f t="shared" si="3"/>
        <v>0</v>
      </c>
      <c r="S15" s="164">
        <f t="shared" si="3"/>
        <v>15.153846153846153</v>
      </c>
      <c r="T15" s="164">
        <f t="shared" si="3"/>
        <v>12.53125</v>
      </c>
      <c r="U15" s="164">
        <f t="shared" si="3"/>
        <v>13.738888888888889</v>
      </c>
      <c r="V15" s="164">
        <f t="shared" si="3"/>
        <v>13.166666666666666</v>
      </c>
      <c r="W15" s="164">
        <f t="shared" si="3"/>
        <v>12.952380952380953</v>
      </c>
      <c r="X15" s="164">
        <f t="shared" si="3"/>
        <v>10.833333333333334</v>
      </c>
      <c r="Y15" s="164">
        <f t="shared" si="3"/>
        <v>13.133333333333333</v>
      </c>
      <c r="Z15" s="164">
        <f t="shared" si="3"/>
        <v>10.535714285714286</v>
      </c>
      <c r="AA15" s="164">
        <f t="shared" si="3"/>
        <v>9.65</v>
      </c>
      <c r="AB15" s="166">
        <f t="shared" si="3"/>
        <v>0</v>
      </c>
      <c r="AC15" s="167">
        <f>SUM(C15:AB15)</f>
        <v>301.3070607705389</v>
      </c>
      <c r="AE15" s="136" t="s">
        <v>18</v>
      </c>
      <c r="AG15" s="136">
        <f>AI13/11.5</f>
        <v>31.77257525083612</v>
      </c>
    </row>
    <row r="16" spans="1:41" ht="27.75" customHeight="1" x14ac:dyDescent="0.4">
      <c r="A16" s="163"/>
      <c r="B16" s="136" t="s">
        <v>19</v>
      </c>
      <c r="C16" s="164">
        <f t="shared" ref="C16:AB16" si="4">IF(C14&gt;0,11.5,0)</f>
        <v>11.5</v>
      </c>
      <c r="D16" s="164">
        <f t="shared" si="4"/>
        <v>11.5</v>
      </c>
      <c r="E16" s="164">
        <f t="shared" si="4"/>
        <v>11.5</v>
      </c>
      <c r="F16" s="164">
        <f t="shared" si="4"/>
        <v>11.5</v>
      </c>
      <c r="G16" s="164">
        <f t="shared" si="4"/>
        <v>11.5</v>
      </c>
      <c r="H16" s="164">
        <f t="shared" si="4"/>
        <v>11.5</v>
      </c>
      <c r="I16" s="165">
        <f t="shared" si="4"/>
        <v>11.5</v>
      </c>
      <c r="J16" s="164">
        <f t="shared" si="4"/>
        <v>11.5</v>
      </c>
      <c r="K16" s="164">
        <f t="shared" si="4"/>
        <v>11.5</v>
      </c>
      <c r="L16" s="164">
        <f t="shared" si="4"/>
        <v>11.5</v>
      </c>
      <c r="M16" s="164">
        <f t="shared" si="4"/>
        <v>11.5</v>
      </c>
      <c r="N16" s="164">
        <f t="shared" si="4"/>
        <v>11.5</v>
      </c>
      <c r="O16" s="164">
        <f t="shared" si="4"/>
        <v>11.5</v>
      </c>
      <c r="P16" s="164">
        <f t="shared" si="4"/>
        <v>11.5</v>
      </c>
      <c r="Q16" s="164">
        <f t="shared" si="4"/>
        <v>11.5</v>
      </c>
      <c r="R16" s="166">
        <f t="shared" si="4"/>
        <v>0</v>
      </c>
      <c r="S16" s="164">
        <f t="shared" si="4"/>
        <v>11.5</v>
      </c>
      <c r="T16" s="164">
        <f t="shared" si="4"/>
        <v>11.5</v>
      </c>
      <c r="U16" s="164">
        <f t="shared" si="4"/>
        <v>11.5</v>
      </c>
      <c r="V16" s="164">
        <f t="shared" si="4"/>
        <v>11.5</v>
      </c>
      <c r="W16" s="164">
        <f t="shared" si="4"/>
        <v>11.5</v>
      </c>
      <c r="X16" s="164">
        <f t="shared" si="4"/>
        <v>11.5</v>
      </c>
      <c r="Y16" s="164">
        <f t="shared" si="4"/>
        <v>11.5</v>
      </c>
      <c r="Z16" s="164">
        <f t="shared" si="4"/>
        <v>11.5</v>
      </c>
      <c r="AA16" s="164">
        <f t="shared" si="4"/>
        <v>11.5</v>
      </c>
      <c r="AB16" s="166">
        <f t="shared" si="4"/>
        <v>0</v>
      </c>
      <c r="AC16" s="167">
        <f>SUM(C16:AB16)</f>
        <v>276</v>
      </c>
      <c r="AE16" s="136" t="s">
        <v>20</v>
      </c>
      <c r="AG16" s="136">
        <f>AC17*AG15</f>
        <v>804.07049270943162</v>
      </c>
    </row>
    <row r="17" spans="1:41" ht="27.75" customHeight="1" x14ac:dyDescent="0.5">
      <c r="A17" s="168"/>
      <c r="B17" s="169" t="s">
        <v>21</v>
      </c>
      <c r="C17" s="170">
        <f t="shared" ref="C17:AB17" si="5">IF(C14&gt;0,C15-C16,0)</f>
        <v>2.0135135135135123</v>
      </c>
      <c r="D17" s="170">
        <f t="shared" si="5"/>
        <v>-0.58333333333333393</v>
      </c>
      <c r="E17" s="170">
        <f t="shared" si="5"/>
        <v>1.8108108108108105</v>
      </c>
      <c r="F17" s="170">
        <f t="shared" si="5"/>
        <v>2.0669191919191938</v>
      </c>
      <c r="G17" s="170">
        <f t="shared" si="5"/>
        <v>-1.9611111111111104</v>
      </c>
      <c r="H17" s="170">
        <f t="shared" si="5"/>
        <v>1.9499999999999993</v>
      </c>
      <c r="I17" s="171">
        <f t="shared" si="5"/>
        <v>1.9642857142857135</v>
      </c>
      <c r="J17" s="170">
        <f t="shared" si="5"/>
        <v>1.3917910447761184</v>
      </c>
      <c r="K17" s="170">
        <f t="shared" si="5"/>
        <v>-1.9404761904761898</v>
      </c>
      <c r="L17" s="170">
        <f t="shared" si="5"/>
        <v>1.9487179487179489</v>
      </c>
      <c r="M17" s="170">
        <f t="shared" si="5"/>
        <v>2.1666666666666661</v>
      </c>
      <c r="N17" s="170">
        <f t="shared" si="5"/>
        <v>1.7111111111111104</v>
      </c>
      <c r="O17" s="170">
        <f t="shared" si="5"/>
        <v>2.4464285714285712</v>
      </c>
      <c r="P17" s="170">
        <f t="shared" si="5"/>
        <v>0.5</v>
      </c>
      <c r="Q17" s="170">
        <f t="shared" si="5"/>
        <v>1.6263232180663376</v>
      </c>
      <c r="R17" s="172">
        <f t="shared" si="5"/>
        <v>0</v>
      </c>
      <c r="S17" s="170">
        <f t="shared" si="5"/>
        <v>3.6538461538461533</v>
      </c>
      <c r="T17" s="170">
        <f t="shared" si="5"/>
        <v>1.03125</v>
      </c>
      <c r="U17" s="170">
        <f t="shared" si="5"/>
        <v>2.2388888888888889</v>
      </c>
      <c r="V17" s="170">
        <f t="shared" si="5"/>
        <v>1.6666666666666661</v>
      </c>
      <c r="W17" s="170">
        <f t="shared" si="5"/>
        <v>1.4523809523809526</v>
      </c>
      <c r="X17" s="170">
        <f t="shared" si="5"/>
        <v>-0.66666666666666607</v>
      </c>
      <c r="Y17" s="170">
        <f t="shared" si="5"/>
        <v>1.6333333333333329</v>
      </c>
      <c r="Z17" s="170">
        <f t="shared" si="5"/>
        <v>-0.96428571428571352</v>
      </c>
      <c r="AA17" s="170">
        <f t="shared" si="5"/>
        <v>-1.8499999999999996</v>
      </c>
      <c r="AB17" s="172">
        <f t="shared" si="5"/>
        <v>0</v>
      </c>
      <c r="AC17" s="167">
        <f>SUM(C17:AB17)</f>
        <v>25.307060770538953</v>
      </c>
      <c r="AH17" s="173">
        <f>AF17/175</f>
        <v>0</v>
      </c>
    </row>
    <row r="18" spans="1:41" ht="27.75" customHeight="1" x14ac:dyDescent="0.4"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</row>
    <row r="19" spans="1:41" ht="27.75" customHeight="1" x14ac:dyDescent="0.4">
      <c r="C19" s="174">
        <v>1.06</v>
      </c>
      <c r="D19" s="138">
        <v>2.06</v>
      </c>
      <c r="E19" s="138">
        <v>3.06</v>
      </c>
      <c r="F19" s="138">
        <v>4.0599999999999996</v>
      </c>
      <c r="G19" s="138">
        <v>5.0599999999999996</v>
      </c>
      <c r="H19" s="138">
        <v>6.06</v>
      </c>
      <c r="I19" s="138">
        <v>8.06</v>
      </c>
      <c r="J19" s="138">
        <v>9.06</v>
      </c>
      <c r="K19" s="138">
        <v>10.06</v>
      </c>
      <c r="L19" s="138">
        <v>11.06</v>
      </c>
      <c r="M19" s="138">
        <v>12.06</v>
      </c>
      <c r="N19" s="138">
        <v>13.06</v>
      </c>
      <c r="O19" s="140">
        <v>15.06</v>
      </c>
      <c r="P19" s="138">
        <v>16.059999999999999</v>
      </c>
      <c r="Q19" s="138">
        <v>17.059999999999999</v>
      </c>
      <c r="R19" s="138">
        <v>18.059999999999999</v>
      </c>
      <c r="S19" s="138">
        <v>19.059999999999999</v>
      </c>
      <c r="T19" s="138">
        <v>20.059999999999999</v>
      </c>
      <c r="U19" s="138">
        <v>22.06</v>
      </c>
      <c r="V19" s="138">
        <v>23.06</v>
      </c>
      <c r="W19" s="138">
        <v>24.06</v>
      </c>
      <c r="X19" s="141">
        <v>25.06</v>
      </c>
      <c r="Y19" s="142">
        <v>26.06</v>
      </c>
      <c r="Z19" s="142">
        <v>27.06</v>
      </c>
      <c r="AA19" s="142">
        <v>29.06</v>
      </c>
      <c r="AB19" s="142">
        <v>30.06</v>
      </c>
      <c r="AC19" s="144" t="s">
        <v>1</v>
      </c>
      <c r="AD19" s="145" t="s">
        <v>2</v>
      </c>
      <c r="AE19" s="146" t="s">
        <v>3</v>
      </c>
      <c r="AF19" s="147" t="s">
        <v>4</v>
      </c>
      <c r="AG19" s="147" t="s">
        <v>5</v>
      </c>
      <c r="AH19" s="145" t="s">
        <v>6</v>
      </c>
      <c r="AI19" s="145" t="s">
        <v>7</v>
      </c>
      <c r="AJ19" s="148" t="s">
        <v>8</v>
      </c>
      <c r="AK19" s="145" t="s">
        <v>9</v>
      </c>
      <c r="AL19" s="145" t="s">
        <v>10</v>
      </c>
      <c r="AM19" s="149" t="s">
        <v>11</v>
      </c>
      <c r="AN19" s="145" t="s">
        <v>12</v>
      </c>
      <c r="AO19" s="150" t="s">
        <v>13</v>
      </c>
    </row>
    <row r="20" spans="1:41" ht="45.75" customHeight="1" x14ac:dyDescent="0.6">
      <c r="A20" s="175">
        <v>2</v>
      </c>
      <c r="B20" s="176" t="s">
        <v>22</v>
      </c>
      <c r="C20" s="156">
        <v>0</v>
      </c>
      <c r="D20" s="153">
        <v>163.75</v>
      </c>
      <c r="E20" s="154">
        <v>197</v>
      </c>
      <c r="F20" s="153">
        <f>177.75+8/6</f>
        <v>179.08333333333334</v>
      </c>
      <c r="G20" s="153">
        <f>136.75+38/6</f>
        <v>143.08333333333334</v>
      </c>
      <c r="H20" s="153">
        <v>201.75</v>
      </c>
      <c r="I20" s="153">
        <v>188.5</v>
      </c>
      <c r="J20" s="153">
        <v>172.75</v>
      </c>
      <c r="K20" s="153">
        <f>131+17/6</f>
        <v>133.83333333333334</v>
      </c>
      <c r="L20" s="153">
        <f>168.5+38/6</f>
        <v>174.83333333333334</v>
      </c>
      <c r="M20" s="153">
        <v>205</v>
      </c>
      <c r="N20" s="153">
        <f>196.5+10/6</f>
        <v>198.16666666666666</v>
      </c>
      <c r="O20" s="156">
        <v>0</v>
      </c>
      <c r="P20" s="153">
        <v>171</v>
      </c>
      <c r="Q20" s="153">
        <v>186</v>
      </c>
      <c r="R20" s="153">
        <v>200.5</v>
      </c>
      <c r="S20" s="153">
        <v>197</v>
      </c>
      <c r="T20" s="153">
        <v>200.5</v>
      </c>
      <c r="U20" s="153">
        <f>205.25+5/6</f>
        <v>206.08333333333334</v>
      </c>
      <c r="V20" s="153">
        <v>197.5</v>
      </c>
      <c r="W20" s="153">
        <f>171.5+59/6</f>
        <v>181.33333333333334</v>
      </c>
      <c r="X20" s="153">
        <v>162.5</v>
      </c>
      <c r="Y20" s="153">
        <f>190+42/6</f>
        <v>197</v>
      </c>
      <c r="Z20" s="153">
        <v>147.5</v>
      </c>
      <c r="AA20" s="153">
        <v>144.75</v>
      </c>
      <c r="AB20" s="153">
        <f>149.5+14/6</f>
        <v>151.83333333333334</v>
      </c>
      <c r="AC20" s="157">
        <f>SUM(C20:AB20)</f>
        <v>4301.25</v>
      </c>
      <c r="AD20" s="158">
        <f>COUNTIF(C21:AB21,"&gt;0")</f>
        <v>24</v>
      </c>
      <c r="AE20" s="158">
        <f>AD20*$AE$11</f>
        <v>4080</v>
      </c>
      <c r="AF20" s="158">
        <f>AC20-AE20</f>
        <v>221.25</v>
      </c>
      <c r="AG20" s="158">
        <f>$AG$11</f>
        <v>26</v>
      </c>
      <c r="AH20" s="158">
        <f>AF20/175</f>
        <v>1.2642857142857142</v>
      </c>
      <c r="AI20" s="158">
        <f>AK20/AG20</f>
        <v>242.30769230769232</v>
      </c>
      <c r="AJ20" s="159">
        <f>AI20*AH20</f>
        <v>306.34615384615387</v>
      </c>
      <c r="AK20" s="158">
        <v>6300</v>
      </c>
      <c r="AL20" s="160">
        <f>AK20+AJ20</f>
        <v>6606.3461538461543</v>
      </c>
      <c r="AM20" s="177" t="s">
        <v>22</v>
      </c>
      <c r="AN20" s="161"/>
      <c r="AO20" s="161"/>
    </row>
    <row r="21" spans="1:41" ht="27.75" customHeight="1" x14ac:dyDescent="0.4">
      <c r="A21" s="163"/>
      <c r="B21" s="136" t="s">
        <v>16</v>
      </c>
      <c r="C21" s="166">
        <v>0</v>
      </c>
      <c r="D21" s="164">
        <v>15</v>
      </c>
      <c r="E21" s="164">
        <v>14.8</v>
      </c>
      <c r="F21" s="164">
        <v>13.2</v>
      </c>
      <c r="G21" s="164">
        <v>15</v>
      </c>
      <c r="H21" s="164">
        <v>15</v>
      </c>
      <c r="I21" s="164">
        <v>14</v>
      </c>
      <c r="J21" s="164">
        <v>13.4</v>
      </c>
      <c r="K21" s="164">
        <v>14</v>
      </c>
      <c r="L21" s="164">
        <v>13</v>
      </c>
      <c r="M21" s="164">
        <v>15</v>
      </c>
      <c r="N21" s="164">
        <v>15</v>
      </c>
      <c r="O21" s="166">
        <v>0</v>
      </c>
      <c r="P21" s="164">
        <v>14.25</v>
      </c>
      <c r="Q21" s="164">
        <v>14.17</v>
      </c>
      <c r="R21" s="164">
        <v>15</v>
      </c>
      <c r="S21" s="164">
        <v>13</v>
      </c>
      <c r="T21" s="164">
        <v>16</v>
      </c>
      <c r="U21" s="164">
        <v>15</v>
      </c>
      <c r="V21" s="164">
        <v>15</v>
      </c>
      <c r="W21" s="164">
        <v>14</v>
      </c>
      <c r="X21" s="164">
        <v>15</v>
      </c>
      <c r="Y21" s="164">
        <v>15</v>
      </c>
      <c r="Z21" s="164">
        <v>14</v>
      </c>
      <c r="AA21" s="164">
        <v>15</v>
      </c>
      <c r="AB21" s="164">
        <v>14</v>
      </c>
    </row>
    <row r="22" spans="1:41" ht="27.75" customHeight="1" x14ac:dyDescent="0.4">
      <c r="A22" s="163"/>
      <c r="B22" s="136" t="s">
        <v>17</v>
      </c>
      <c r="C22" s="166">
        <f t="shared" ref="C22:AB22" si="6">IF(C21&gt;0,C20/C21,0)</f>
        <v>0</v>
      </c>
      <c r="D22" s="164">
        <f t="shared" si="6"/>
        <v>10.916666666666666</v>
      </c>
      <c r="E22" s="164">
        <f t="shared" si="6"/>
        <v>13.310810810810811</v>
      </c>
      <c r="F22" s="164">
        <f t="shared" si="6"/>
        <v>13.566919191919194</v>
      </c>
      <c r="G22" s="164">
        <f t="shared" si="6"/>
        <v>9.5388888888888896</v>
      </c>
      <c r="H22" s="164">
        <f t="shared" si="6"/>
        <v>13.45</v>
      </c>
      <c r="I22" s="164">
        <f t="shared" si="6"/>
        <v>13.464285714285714</v>
      </c>
      <c r="J22" s="164">
        <f t="shared" si="6"/>
        <v>12.891791044776118</v>
      </c>
      <c r="K22" s="164">
        <f t="shared" si="6"/>
        <v>9.5595238095238102</v>
      </c>
      <c r="L22" s="164">
        <f t="shared" si="6"/>
        <v>13.448717948717949</v>
      </c>
      <c r="M22" s="164">
        <f t="shared" si="6"/>
        <v>13.666666666666666</v>
      </c>
      <c r="N22" s="164">
        <f t="shared" si="6"/>
        <v>13.21111111111111</v>
      </c>
      <c r="O22" s="166">
        <f t="shared" si="6"/>
        <v>0</v>
      </c>
      <c r="P22" s="164">
        <f t="shared" si="6"/>
        <v>12</v>
      </c>
      <c r="Q22" s="164">
        <f t="shared" si="6"/>
        <v>13.126323218066338</v>
      </c>
      <c r="R22" s="164">
        <f t="shared" si="6"/>
        <v>13.366666666666667</v>
      </c>
      <c r="S22" s="164">
        <f t="shared" si="6"/>
        <v>15.153846153846153</v>
      </c>
      <c r="T22" s="164">
        <f t="shared" si="6"/>
        <v>12.53125</v>
      </c>
      <c r="U22" s="164">
        <f t="shared" si="6"/>
        <v>13.738888888888889</v>
      </c>
      <c r="V22" s="164">
        <f t="shared" si="6"/>
        <v>13.166666666666666</v>
      </c>
      <c r="W22" s="164">
        <f t="shared" si="6"/>
        <v>12.952380952380953</v>
      </c>
      <c r="X22" s="164">
        <f t="shared" si="6"/>
        <v>10.833333333333334</v>
      </c>
      <c r="Y22" s="164">
        <f t="shared" si="6"/>
        <v>13.133333333333333</v>
      </c>
      <c r="Z22" s="164">
        <f t="shared" si="6"/>
        <v>10.535714285714286</v>
      </c>
      <c r="AA22" s="164">
        <f t="shared" si="6"/>
        <v>9.65</v>
      </c>
      <c r="AB22" s="164">
        <f t="shared" si="6"/>
        <v>10.845238095238097</v>
      </c>
      <c r="AC22" s="167">
        <f>SUM(C22:AB22)</f>
        <v>298.05902344750166</v>
      </c>
      <c r="AE22" s="136" t="s">
        <v>18</v>
      </c>
      <c r="AG22" s="136">
        <f>AI20/11.5</f>
        <v>21.070234113712377</v>
      </c>
    </row>
    <row r="23" spans="1:41" ht="27.75" customHeight="1" x14ac:dyDescent="0.4">
      <c r="A23" s="163"/>
      <c r="B23" s="136" t="s">
        <v>19</v>
      </c>
      <c r="C23" s="166">
        <f t="shared" ref="C23:AB23" si="7">IF(C21&gt;0,11.5,0)</f>
        <v>0</v>
      </c>
      <c r="D23" s="164">
        <f t="shared" si="7"/>
        <v>11.5</v>
      </c>
      <c r="E23" s="164">
        <f t="shared" si="7"/>
        <v>11.5</v>
      </c>
      <c r="F23" s="164">
        <f t="shared" si="7"/>
        <v>11.5</v>
      </c>
      <c r="G23" s="164">
        <f t="shared" si="7"/>
        <v>11.5</v>
      </c>
      <c r="H23" s="164">
        <f t="shared" si="7"/>
        <v>11.5</v>
      </c>
      <c r="I23" s="164">
        <f t="shared" si="7"/>
        <v>11.5</v>
      </c>
      <c r="J23" s="164">
        <f t="shared" si="7"/>
        <v>11.5</v>
      </c>
      <c r="K23" s="164">
        <f t="shared" si="7"/>
        <v>11.5</v>
      </c>
      <c r="L23" s="164">
        <f t="shared" si="7"/>
        <v>11.5</v>
      </c>
      <c r="M23" s="164">
        <f t="shared" si="7"/>
        <v>11.5</v>
      </c>
      <c r="N23" s="164">
        <f t="shared" si="7"/>
        <v>11.5</v>
      </c>
      <c r="O23" s="166">
        <f t="shared" si="7"/>
        <v>0</v>
      </c>
      <c r="P23" s="164">
        <f t="shared" si="7"/>
        <v>11.5</v>
      </c>
      <c r="Q23" s="164">
        <f t="shared" si="7"/>
        <v>11.5</v>
      </c>
      <c r="R23" s="164">
        <f t="shared" si="7"/>
        <v>11.5</v>
      </c>
      <c r="S23" s="164">
        <f t="shared" si="7"/>
        <v>11.5</v>
      </c>
      <c r="T23" s="164">
        <f t="shared" si="7"/>
        <v>11.5</v>
      </c>
      <c r="U23" s="164">
        <f t="shared" si="7"/>
        <v>11.5</v>
      </c>
      <c r="V23" s="164">
        <f t="shared" si="7"/>
        <v>11.5</v>
      </c>
      <c r="W23" s="164">
        <f t="shared" si="7"/>
        <v>11.5</v>
      </c>
      <c r="X23" s="164">
        <f t="shared" si="7"/>
        <v>11.5</v>
      </c>
      <c r="Y23" s="164">
        <f t="shared" si="7"/>
        <v>11.5</v>
      </c>
      <c r="Z23" s="164">
        <f t="shared" si="7"/>
        <v>11.5</v>
      </c>
      <c r="AA23" s="164">
        <f t="shared" si="7"/>
        <v>11.5</v>
      </c>
      <c r="AB23" s="164">
        <f t="shared" si="7"/>
        <v>11.5</v>
      </c>
      <c r="AC23" s="167">
        <f>SUM(C23:AB23)</f>
        <v>276</v>
      </c>
      <c r="AE23" s="136" t="s">
        <v>20</v>
      </c>
      <c r="AG23" s="136">
        <f>AC24*AG22</f>
        <v>464.78878835873007</v>
      </c>
    </row>
    <row r="24" spans="1:41" ht="27.75" customHeight="1" x14ac:dyDescent="0.4">
      <c r="A24" s="168"/>
      <c r="B24" s="169" t="s">
        <v>21</v>
      </c>
      <c r="C24" s="172">
        <f t="shared" ref="C24:AB24" si="8">IF(C21&gt;0,C22-C23,0)</f>
        <v>0</v>
      </c>
      <c r="D24" s="170">
        <f t="shared" si="8"/>
        <v>-0.58333333333333393</v>
      </c>
      <c r="E24" s="170">
        <f t="shared" si="8"/>
        <v>1.8108108108108105</v>
      </c>
      <c r="F24" s="170">
        <f t="shared" si="8"/>
        <v>2.0669191919191938</v>
      </c>
      <c r="G24" s="170">
        <f t="shared" si="8"/>
        <v>-1.9611111111111104</v>
      </c>
      <c r="H24" s="170">
        <f t="shared" si="8"/>
        <v>1.9499999999999993</v>
      </c>
      <c r="I24" s="170">
        <f t="shared" si="8"/>
        <v>1.9642857142857135</v>
      </c>
      <c r="J24" s="170">
        <f t="shared" si="8"/>
        <v>1.3917910447761184</v>
      </c>
      <c r="K24" s="170">
        <f t="shared" si="8"/>
        <v>-1.9404761904761898</v>
      </c>
      <c r="L24" s="170">
        <f t="shared" si="8"/>
        <v>1.9487179487179489</v>
      </c>
      <c r="M24" s="170">
        <f t="shared" si="8"/>
        <v>2.1666666666666661</v>
      </c>
      <c r="N24" s="170">
        <f t="shared" si="8"/>
        <v>1.7111111111111104</v>
      </c>
      <c r="O24" s="172">
        <f t="shared" si="8"/>
        <v>0</v>
      </c>
      <c r="P24" s="170">
        <f t="shared" si="8"/>
        <v>0.5</v>
      </c>
      <c r="Q24" s="170">
        <f t="shared" si="8"/>
        <v>1.6263232180663376</v>
      </c>
      <c r="R24" s="170">
        <f t="shared" si="8"/>
        <v>1.8666666666666671</v>
      </c>
      <c r="S24" s="170">
        <f t="shared" si="8"/>
        <v>3.6538461538461533</v>
      </c>
      <c r="T24" s="170">
        <f t="shared" si="8"/>
        <v>1.03125</v>
      </c>
      <c r="U24" s="170">
        <f t="shared" si="8"/>
        <v>2.2388888888888889</v>
      </c>
      <c r="V24" s="170">
        <f t="shared" si="8"/>
        <v>1.6666666666666661</v>
      </c>
      <c r="W24" s="170">
        <f t="shared" si="8"/>
        <v>1.4523809523809526</v>
      </c>
      <c r="X24" s="170">
        <f t="shared" si="8"/>
        <v>-0.66666666666666607</v>
      </c>
      <c r="Y24" s="170">
        <f t="shared" si="8"/>
        <v>1.6333333333333329</v>
      </c>
      <c r="Z24" s="170">
        <f t="shared" si="8"/>
        <v>-0.96428571428571352</v>
      </c>
      <c r="AA24" s="170">
        <f t="shared" si="8"/>
        <v>-1.8499999999999996</v>
      </c>
      <c r="AB24" s="170">
        <f t="shared" si="8"/>
        <v>-0.65476190476190332</v>
      </c>
      <c r="AC24" s="167">
        <f>SUM(C24:AB24)</f>
        <v>22.05902344750163</v>
      </c>
      <c r="AH24">
        <f>AF24/175</f>
        <v>0</v>
      </c>
    </row>
    <row r="25" spans="1:41" ht="27.75" customHeight="1" x14ac:dyDescent="0.4"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</row>
    <row r="26" spans="1:41" ht="27.75" customHeight="1" x14ac:dyDescent="0.3"/>
    <row r="27" spans="1:41" ht="27.75" customHeight="1" x14ac:dyDescent="0.4">
      <c r="B27" s="136" t="s">
        <v>23</v>
      </c>
      <c r="C27" s="137">
        <v>1.06</v>
      </c>
      <c r="D27" s="138">
        <v>2.06</v>
      </c>
      <c r="E27" s="138">
        <v>3.06</v>
      </c>
      <c r="F27" s="138">
        <v>4.0599999999999996</v>
      </c>
      <c r="G27" s="138">
        <v>5.0599999999999996</v>
      </c>
      <c r="H27" s="139">
        <v>6.06</v>
      </c>
      <c r="I27" s="140">
        <v>8.06</v>
      </c>
      <c r="J27" s="138">
        <v>9.06</v>
      </c>
      <c r="K27" s="138">
        <v>10.06</v>
      </c>
      <c r="L27" s="138">
        <v>11.06</v>
      </c>
      <c r="M27" s="138">
        <v>12.06</v>
      </c>
      <c r="N27" s="196">
        <v>13.06</v>
      </c>
      <c r="O27" s="138">
        <v>15.06</v>
      </c>
      <c r="P27" s="138">
        <v>16.059999999999999</v>
      </c>
      <c r="Q27" s="138">
        <v>17.059999999999999</v>
      </c>
      <c r="R27" s="138">
        <v>18.059999999999999</v>
      </c>
      <c r="S27" s="138">
        <v>19.059999999999999</v>
      </c>
      <c r="T27" s="138">
        <v>20.059999999999999</v>
      </c>
      <c r="U27" s="138">
        <v>22.06</v>
      </c>
      <c r="V27" s="138">
        <v>23.06</v>
      </c>
      <c r="W27" s="138">
        <v>24.06</v>
      </c>
      <c r="X27" s="141">
        <v>25.06</v>
      </c>
      <c r="Y27" s="142">
        <v>26.06</v>
      </c>
      <c r="Z27" s="143">
        <v>27.06</v>
      </c>
      <c r="AA27" s="142">
        <v>29.06</v>
      </c>
      <c r="AB27" s="142">
        <v>30.06</v>
      </c>
      <c r="AC27" s="144" t="s">
        <v>1</v>
      </c>
      <c r="AD27" s="145" t="s">
        <v>2</v>
      </c>
      <c r="AE27" s="146" t="s">
        <v>3</v>
      </c>
      <c r="AF27" s="147" t="s">
        <v>4</v>
      </c>
      <c r="AG27" s="147" t="s">
        <v>5</v>
      </c>
      <c r="AH27" s="145" t="s">
        <v>6</v>
      </c>
      <c r="AI27" s="145" t="s">
        <v>7</v>
      </c>
      <c r="AJ27" s="148" t="s">
        <v>8</v>
      </c>
      <c r="AK27" s="145" t="s">
        <v>9</v>
      </c>
      <c r="AL27" s="145" t="s">
        <v>10</v>
      </c>
      <c r="AM27" s="149" t="s">
        <v>11</v>
      </c>
      <c r="AN27" s="145" t="s">
        <v>12</v>
      </c>
      <c r="AO27" s="150" t="s">
        <v>13</v>
      </c>
    </row>
    <row r="28" spans="1:41" ht="48" customHeight="1" x14ac:dyDescent="0.6">
      <c r="A28" s="151">
        <v>3</v>
      </c>
      <c r="B28" s="152" t="s">
        <v>24</v>
      </c>
      <c r="C28" s="153">
        <v>200</v>
      </c>
      <c r="D28" s="153">
        <v>163.75</v>
      </c>
      <c r="E28" s="154">
        <v>197</v>
      </c>
      <c r="F28" s="153">
        <f>177.75+8/6</f>
        <v>179.08333333333334</v>
      </c>
      <c r="G28" s="153">
        <f>136.75+38/6</f>
        <v>143.08333333333334</v>
      </c>
      <c r="H28" s="155">
        <v>170</v>
      </c>
      <c r="I28" s="156">
        <v>0</v>
      </c>
      <c r="J28" s="153">
        <v>172.75</v>
      </c>
      <c r="K28" s="153">
        <f>131+17/6</f>
        <v>133.83333333333334</v>
      </c>
      <c r="L28" s="153">
        <f>168.5+38/6</f>
        <v>174.83333333333334</v>
      </c>
      <c r="M28" s="153">
        <v>205</v>
      </c>
      <c r="N28" s="195">
        <v>0</v>
      </c>
      <c r="O28" s="153">
        <v>195.25</v>
      </c>
      <c r="P28" s="153">
        <v>171</v>
      </c>
      <c r="Q28" s="153">
        <v>186</v>
      </c>
      <c r="R28" s="153">
        <v>200.5</v>
      </c>
      <c r="S28" s="153">
        <v>197</v>
      </c>
      <c r="T28" s="153">
        <v>200.5</v>
      </c>
      <c r="U28" s="153">
        <f>205.25+5/6</f>
        <v>206.08333333333334</v>
      </c>
      <c r="V28" s="153">
        <v>197.5</v>
      </c>
      <c r="W28" s="153">
        <f>171.5+59/6</f>
        <v>181.33333333333334</v>
      </c>
      <c r="X28" s="153">
        <v>162.5</v>
      </c>
      <c r="Y28" s="153">
        <f>190+42/6</f>
        <v>197</v>
      </c>
      <c r="Z28" s="156">
        <v>0</v>
      </c>
      <c r="AA28" s="153">
        <v>144.75</v>
      </c>
      <c r="AB28" s="153">
        <f>149.5+14/6</f>
        <v>151.83333333333334</v>
      </c>
      <c r="AC28" s="157">
        <f>SUM(C28:AB28)</f>
        <v>4130.583333333333</v>
      </c>
      <c r="AD28" s="158">
        <v>23</v>
      </c>
      <c r="AE28" s="158">
        <f>AD28*$AE$11</f>
        <v>3910</v>
      </c>
      <c r="AF28" s="158">
        <f>AC28-AE28</f>
        <v>220.58333333333303</v>
      </c>
      <c r="AG28" s="158">
        <f>$AG$11</f>
        <v>26</v>
      </c>
      <c r="AH28" s="158">
        <f>AF28/175</f>
        <v>1.2604761904761888</v>
      </c>
      <c r="AI28" s="158">
        <f>AK28/AG28</f>
        <v>365.38461538461536</v>
      </c>
      <c r="AJ28" s="159">
        <f>AI28*AH28</f>
        <v>460.55860805860738</v>
      </c>
      <c r="AK28" s="158">
        <v>9500</v>
      </c>
      <c r="AL28" s="160">
        <f>AK28+AJ28</f>
        <v>9960.5586080586072</v>
      </c>
      <c r="AM28" s="152" t="s">
        <v>24</v>
      </c>
      <c r="AN28" s="178"/>
      <c r="AO28" s="179" t="s">
        <v>25</v>
      </c>
    </row>
    <row r="29" spans="1:41" ht="27.75" customHeight="1" x14ac:dyDescent="0.4">
      <c r="A29" s="163"/>
      <c r="B29" s="167"/>
      <c r="C29" s="164">
        <v>14.8</v>
      </c>
      <c r="D29" s="164">
        <v>15</v>
      </c>
      <c r="E29" s="164">
        <v>14.8</v>
      </c>
      <c r="F29" s="164">
        <v>13.2</v>
      </c>
      <c r="G29" s="164">
        <v>15</v>
      </c>
      <c r="H29" s="165">
        <v>15</v>
      </c>
      <c r="I29" s="166">
        <v>0</v>
      </c>
      <c r="J29" s="164">
        <v>13.4</v>
      </c>
      <c r="K29" s="164">
        <v>14</v>
      </c>
      <c r="L29" s="164">
        <v>13</v>
      </c>
      <c r="M29" s="164">
        <v>15</v>
      </c>
      <c r="N29" s="197">
        <v>15</v>
      </c>
      <c r="O29" s="164">
        <v>14</v>
      </c>
      <c r="P29" s="164">
        <v>14.25</v>
      </c>
      <c r="Q29" s="164">
        <v>14.17</v>
      </c>
      <c r="R29" s="164">
        <v>15</v>
      </c>
      <c r="S29" s="164">
        <v>13</v>
      </c>
      <c r="T29" s="164">
        <v>16</v>
      </c>
      <c r="U29" s="164">
        <v>15</v>
      </c>
      <c r="V29" s="164">
        <v>15</v>
      </c>
      <c r="W29" s="164">
        <v>14</v>
      </c>
      <c r="X29" s="164">
        <v>15</v>
      </c>
      <c r="Y29" s="164">
        <v>15</v>
      </c>
      <c r="Z29" s="166">
        <v>0</v>
      </c>
      <c r="AA29" s="164">
        <v>15</v>
      </c>
      <c r="AB29" s="164">
        <v>14</v>
      </c>
    </row>
    <row r="30" spans="1:41" ht="27.75" customHeight="1" x14ac:dyDescent="0.4">
      <c r="A30" s="163"/>
      <c r="B30" s="167" t="s">
        <v>17</v>
      </c>
      <c r="C30" s="164">
        <f t="shared" ref="C30:AB30" si="9">IF(C29&gt;0,C28/C29,0)</f>
        <v>13.513513513513512</v>
      </c>
      <c r="D30" s="164">
        <f t="shared" si="9"/>
        <v>10.916666666666666</v>
      </c>
      <c r="E30" s="164">
        <f t="shared" si="9"/>
        <v>13.310810810810811</v>
      </c>
      <c r="F30" s="164">
        <f t="shared" si="9"/>
        <v>13.566919191919194</v>
      </c>
      <c r="G30" s="164">
        <f t="shared" si="9"/>
        <v>9.5388888888888896</v>
      </c>
      <c r="H30" s="165">
        <f t="shared" si="9"/>
        <v>11.333333333333334</v>
      </c>
      <c r="I30" s="166">
        <f t="shared" si="9"/>
        <v>0</v>
      </c>
      <c r="J30" s="164">
        <f t="shared" si="9"/>
        <v>12.891791044776118</v>
      </c>
      <c r="K30" s="164">
        <f t="shared" si="9"/>
        <v>9.5595238095238102</v>
      </c>
      <c r="L30" s="164">
        <f t="shared" si="9"/>
        <v>13.448717948717949</v>
      </c>
      <c r="M30" s="164">
        <f t="shared" si="9"/>
        <v>13.666666666666666</v>
      </c>
      <c r="N30" s="197">
        <f t="shared" si="9"/>
        <v>0</v>
      </c>
      <c r="O30" s="164">
        <f t="shared" si="9"/>
        <v>13.946428571428571</v>
      </c>
      <c r="P30" s="164">
        <f t="shared" si="9"/>
        <v>12</v>
      </c>
      <c r="Q30" s="164">
        <f t="shared" si="9"/>
        <v>13.126323218066338</v>
      </c>
      <c r="R30" s="164">
        <f t="shared" si="9"/>
        <v>13.366666666666667</v>
      </c>
      <c r="S30" s="164">
        <f t="shared" si="9"/>
        <v>15.153846153846153</v>
      </c>
      <c r="T30" s="164">
        <f t="shared" si="9"/>
        <v>12.53125</v>
      </c>
      <c r="U30" s="164">
        <f t="shared" si="9"/>
        <v>13.738888888888889</v>
      </c>
      <c r="V30" s="164">
        <f t="shared" si="9"/>
        <v>13.166666666666666</v>
      </c>
      <c r="W30" s="164">
        <f t="shared" si="9"/>
        <v>12.952380952380953</v>
      </c>
      <c r="X30" s="164">
        <f t="shared" si="9"/>
        <v>10.833333333333334</v>
      </c>
      <c r="Y30" s="164">
        <f t="shared" si="9"/>
        <v>13.133333333333333</v>
      </c>
      <c r="Z30" s="166">
        <f t="shared" si="9"/>
        <v>0</v>
      </c>
      <c r="AA30" s="164">
        <f t="shared" si="9"/>
        <v>9.65</v>
      </c>
      <c r="AB30" s="164">
        <f t="shared" si="9"/>
        <v>10.845238095238097</v>
      </c>
      <c r="AC30" s="167">
        <f>SUM(C30:AB30)</f>
        <v>286.19118775466592</v>
      </c>
      <c r="AE30" s="136" t="s">
        <v>18</v>
      </c>
      <c r="AG30" s="136">
        <f>AI28/11.5</f>
        <v>31.77257525083612</v>
      </c>
    </row>
    <row r="31" spans="1:41" ht="27.75" customHeight="1" x14ac:dyDescent="0.4">
      <c r="A31" s="163"/>
      <c r="B31" s="167" t="s">
        <v>19</v>
      </c>
      <c r="C31" s="164">
        <f t="shared" ref="C31:AB31" si="10">IF(C29&gt;0,11.5,0)</f>
        <v>11.5</v>
      </c>
      <c r="D31" s="164">
        <f t="shared" si="10"/>
        <v>11.5</v>
      </c>
      <c r="E31" s="164">
        <f t="shared" si="10"/>
        <v>11.5</v>
      </c>
      <c r="F31" s="164">
        <f t="shared" si="10"/>
        <v>11.5</v>
      </c>
      <c r="G31" s="164">
        <f t="shared" si="10"/>
        <v>11.5</v>
      </c>
      <c r="H31" s="165">
        <f t="shared" si="10"/>
        <v>11.5</v>
      </c>
      <c r="I31" s="166">
        <f t="shared" si="10"/>
        <v>0</v>
      </c>
      <c r="J31" s="164">
        <f t="shared" si="10"/>
        <v>11.5</v>
      </c>
      <c r="K31" s="164">
        <f t="shared" si="10"/>
        <v>11.5</v>
      </c>
      <c r="L31" s="164">
        <f t="shared" si="10"/>
        <v>11.5</v>
      </c>
      <c r="M31" s="164">
        <f t="shared" si="10"/>
        <v>11.5</v>
      </c>
      <c r="N31" s="197">
        <v>0</v>
      </c>
      <c r="O31" s="164">
        <f t="shared" si="10"/>
        <v>11.5</v>
      </c>
      <c r="P31" s="164">
        <f t="shared" si="10"/>
        <v>11.5</v>
      </c>
      <c r="Q31" s="164">
        <f t="shared" si="10"/>
        <v>11.5</v>
      </c>
      <c r="R31" s="164">
        <f t="shared" si="10"/>
        <v>11.5</v>
      </c>
      <c r="S31" s="164">
        <f t="shared" si="10"/>
        <v>11.5</v>
      </c>
      <c r="T31" s="164">
        <f t="shared" si="10"/>
        <v>11.5</v>
      </c>
      <c r="U31" s="164">
        <f t="shared" si="10"/>
        <v>11.5</v>
      </c>
      <c r="V31" s="164">
        <f t="shared" si="10"/>
        <v>11.5</v>
      </c>
      <c r="W31" s="164">
        <f t="shared" si="10"/>
        <v>11.5</v>
      </c>
      <c r="X31" s="164">
        <f t="shared" si="10"/>
        <v>11.5</v>
      </c>
      <c r="Y31" s="164">
        <f t="shared" si="10"/>
        <v>11.5</v>
      </c>
      <c r="Z31" s="166">
        <f t="shared" si="10"/>
        <v>0</v>
      </c>
      <c r="AA31" s="164">
        <f t="shared" si="10"/>
        <v>11.5</v>
      </c>
      <c r="AB31" s="164">
        <f t="shared" si="10"/>
        <v>11.5</v>
      </c>
      <c r="AC31" s="167">
        <f>SUM(C31:AB31)</f>
        <v>264.5</v>
      </c>
      <c r="AE31" s="136" t="s">
        <v>20</v>
      </c>
      <c r="AG31" s="136">
        <f>AC32*AG30</f>
        <v>689.18489521513857</v>
      </c>
      <c r="AN31" s="136"/>
      <c r="AO31" s="136"/>
    </row>
    <row r="32" spans="1:41" ht="27.75" customHeight="1" x14ac:dyDescent="0.4">
      <c r="A32" s="168"/>
      <c r="B32" s="170" t="s">
        <v>21</v>
      </c>
      <c r="C32" s="170">
        <f t="shared" ref="C32:AB32" si="11">IF(C29&gt;0,C30-C31,0)</f>
        <v>2.0135135135135123</v>
      </c>
      <c r="D32" s="170">
        <f t="shared" si="11"/>
        <v>-0.58333333333333393</v>
      </c>
      <c r="E32" s="170">
        <f t="shared" si="11"/>
        <v>1.8108108108108105</v>
      </c>
      <c r="F32" s="170">
        <f t="shared" si="11"/>
        <v>2.0669191919191938</v>
      </c>
      <c r="G32" s="170">
        <f t="shared" si="11"/>
        <v>-1.9611111111111104</v>
      </c>
      <c r="H32" s="171">
        <f t="shared" si="11"/>
        <v>-0.16666666666666607</v>
      </c>
      <c r="I32" s="172">
        <f t="shared" si="11"/>
        <v>0</v>
      </c>
      <c r="J32" s="170">
        <f t="shared" si="11"/>
        <v>1.3917910447761184</v>
      </c>
      <c r="K32" s="170">
        <f t="shared" si="11"/>
        <v>-1.9404761904761898</v>
      </c>
      <c r="L32" s="170">
        <f t="shared" si="11"/>
        <v>1.9487179487179489</v>
      </c>
      <c r="M32" s="170">
        <f t="shared" si="11"/>
        <v>2.1666666666666661</v>
      </c>
      <c r="N32" s="198">
        <f t="shared" si="11"/>
        <v>0</v>
      </c>
      <c r="O32" s="170">
        <f t="shared" si="11"/>
        <v>2.4464285714285712</v>
      </c>
      <c r="P32" s="170">
        <f t="shared" si="11"/>
        <v>0.5</v>
      </c>
      <c r="Q32" s="170">
        <f t="shared" si="11"/>
        <v>1.6263232180663376</v>
      </c>
      <c r="R32" s="170">
        <f t="shared" si="11"/>
        <v>1.8666666666666671</v>
      </c>
      <c r="S32" s="170">
        <f t="shared" si="11"/>
        <v>3.6538461538461533</v>
      </c>
      <c r="T32" s="170">
        <f t="shared" si="11"/>
        <v>1.03125</v>
      </c>
      <c r="U32" s="170">
        <f t="shared" si="11"/>
        <v>2.2388888888888889</v>
      </c>
      <c r="V32" s="170">
        <f t="shared" si="11"/>
        <v>1.6666666666666661</v>
      </c>
      <c r="W32" s="170">
        <f t="shared" si="11"/>
        <v>1.4523809523809526</v>
      </c>
      <c r="X32" s="170">
        <f t="shared" si="11"/>
        <v>-0.66666666666666607</v>
      </c>
      <c r="Y32" s="170">
        <f t="shared" si="11"/>
        <v>1.6333333333333329</v>
      </c>
      <c r="Z32" s="172">
        <f t="shared" si="11"/>
        <v>0</v>
      </c>
      <c r="AA32" s="170">
        <f t="shared" si="11"/>
        <v>-1.8499999999999996</v>
      </c>
      <c r="AB32" s="170">
        <f t="shared" si="11"/>
        <v>-0.65476190476190332</v>
      </c>
      <c r="AC32" s="167">
        <f>SUM(C32:AB32)</f>
        <v>21.69118775466594</v>
      </c>
      <c r="AH32">
        <f>AF32/175</f>
        <v>0</v>
      </c>
      <c r="AJ32" s="136"/>
    </row>
    <row r="33" spans="1:41" ht="27.75" customHeight="1" x14ac:dyDescent="0.4"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</row>
    <row r="34" spans="1:41" ht="27.75" customHeight="1" x14ac:dyDescent="0.4">
      <c r="B34" s="136" t="s">
        <v>26</v>
      </c>
      <c r="C34" s="137">
        <v>1.06</v>
      </c>
      <c r="D34" s="138">
        <v>2.06</v>
      </c>
      <c r="E34" s="138">
        <v>3.06</v>
      </c>
      <c r="F34" s="140">
        <v>4.0599999999999996</v>
      </c>
      <c r="G34" s="139">
        <v>5.0599999999999996</v>
      </c>
      <c r="H34" s="138">
        <v>6.06</v>
      </c>
      <c r="I34" s="138">
        <v>8.06</v>
      </c>
      <c r="J34" s="138">
        <v>9.06</v>
      </c>
      <c r="K34" s="138">
        <v>10.06</v>
      </c>
      <c r="L34" s="196">
        <v>11.06</v>
      </c>
      <c r="M34" s="196">
        <v>12.06</v>
      </c>
      <c r="N34" s="196">
        <v>13.06</v>
      </c>
      <c r="O34" s="138">
        <v>15.06</v>
      </c>
      <c r="P34" s="139">
        <v>16.059999999999999</v>
      </c>
      <c r="Q34" s="196">
        <v>17.059999999999999</v>
      </c>
      <c r="R34" s="196">
        <v>18.059999999999999</v>
      </c>
      <c r="S34" s="138">
        <v>19.059999999999999</v>
      </c>
      <c r="T34" s="138">
        <v>20.059999999999999</v>
      </c>
      <c r="U34" s="138">
        <v>22.06</v>
      </c>
      <c r="V34" s="138">
        <v>23.06</v>
      </c>
      <c r="W34" s="138">
        <v>24.06</v>
      </c>
      <c r="X34" s="141">
        <v>25.06</v>
      </c>
      <c r="Y34" s="142">
        <v>26.06</v>
      </c>
      <c r="Z34" s="142">
        <v>27.06</v>
      </c>
      <c r="AA34" s="142">
        <v>29.06</v>
      </c>
      <c r="AB34" s="142">
        <v>30.06</v>
      </c>
      <c r="AC34" s="144" t="s">
        <v>1</v>
      </c>
      <c r="AD34" s="145" t="s">
        <v>2</v>
      </c>
      <c r="AE34" s="146" t="s">
        <v>3</v>
      </c>
      <c r="AF34" s="147" t="s">
        <v>4</v>
      </c>
      <c r="AG34" s="147" t="s">
        <v>5</v>
      </c>
      <c r="AH34" s="145" t="s">
        <v>6</v>
      </c>
      <c r="AI34" s="145" t="s">
        <v>7</v>
      </c>
      <c r="AJ34" s="148" t="s">
        <v>8</v>
      </c>
      <c r="AK34" s="145" t="s">
        <v>9</v>
      </c>
      <c r="AL34" s="145" t="s">
        <v>10</v>
      </c>
      <c r="AM34" s="149" t="s">
        <v>11</v>
      </c>
      <c r="AN34" s="145" t="s">
        <v>12</v>
      </c>
      <c r="AO34" s="150" t="s">
        <v>13</v>
      </c>
    </row>
    <row r="35" spans="1:41" ht="44.25" customHeight="1" x14ac:dyDescent="0.6">
      <c r="A35" s="151">
        <v>4</v>
      </c>
      <c r="B35" s="152" t="s">
        <v>27</v>
      </c>
      <c r="C35" s="153">
        <v>200</v>
      </c>
      <c r="D35" s="153">
        <v>163.75</v>
      </c>
      <c r="E35" s="154">
        <v>197</v>
      </c>
      <c r="F35" s="156">
        <v>0</v>
      </c>
      <c r="G35" s="155">
        <f>136.75+38/6</f>
        <v>143.08333333333334</v>
      </c>
      <c r="H35" s="153">
        <v>201.75</v>
      </c>
      <c r="I35" s="153">
        <v>188.5</v>
      </c>
      <c r="J35" s="153">
        <v>172.75</v>
      </c>
      <c r="K35" s="153">
        <f>131+17/6</f>
        <v>133.83333333333334</v>
      </c>
      <c r="L35" s="195">
        <v>0</v>
      </c>
      <c r="M35" s="195">
        <v>0</v>
      </c>
      <c r="N35" s="195">
        <v>0</v>
      </c>
      <c r="O35" s="153">
        <v>195.25</v>
      </c>
      <c r="P35" s="155">
        <v>130</v>
      </c>
      <c r="Q35" s="195">
        <v>0</v>
      </c>
      <c r="R35" s="195">
        <v>0</v>
      </c>
      <c r="S35" s="153">
        <v>197</v>
      </c>
      <c r="T35" s="153">
        <v>200.5</v>
      </c>
      <c r="U35" s="153">
        <f>205.25+5/6</f>
        <v>206.08333333333334</v>
      </c>
      <c r="V35" s="153">
        <v>197.5</v>
      </c>
      <c r="W35" s="153">
        <f>171.5+59/6</f>
        <v>181.33333333333334</v>
      </c>
      <c r="X35" s="153">
        <v>162.5</v>
      </c>
      <c r="Y35" s="153">
        <f>190+42/6</f>
        <v>197</v>
      </c>
      <c r="Z35" s="153">
        <v>147.5</v>
      </c>
      <c r="AA35" s="153">
        <v>144.75</v>
      </c>
      <c r="AB35" s="153">
        <f>149.5+14/6</f>
        <v>151.83333333333334</v>
      </c>
      <c r="AC35" s="157">
        <f>SUM(C35:AB35)</f>
        <v>3511.9166666666674</v>
      </c>
      <c r="AD35" s="158">
        <v>15</v>
      </c>
      <c r="AE35" s="158">
        <f>AD35*$AE$11</f>
        <v>2550</v>
      </c>
      <c r="AF35" s="158">
        <f>AC35-AE35</f>
        <v>961.91666666666742</v>
      </c>
      <c r="AG35" s="158">
        <f>$AG$11</f>
        <v>26</v>
      </c>
      <c r="AH35" s="158">
        <f>AF35/175</f>
        <v>5.4966666666666706</v>
      </c>
      <c r="AI35" s="158">
        <f>AK35/AG35</f>
        <v>288.46153846153845</v>
      </c>
      <c r="AJ35" s="159">
        <f>AI35*AH35</f>
        <v>1585.5769230769242</v>
      </c>
      <c r="AK35" s="158">
        <v>7500</v>
      </c>
      <c r="AL35" s="160">
        <f>AK35+AJ35</f>
        <v>9085.5769230769238</v>
      </c>
      <c r="AM35" s="152" t="s">
        <v>27</v>
      </c>
      <c r="AN35" s="161"/>
      <c r="AO35" s="162" t="s">
        <v>28</v>
      </c>
    </row>
    <row r="36" spans="1:41" ht="27.75" customHeight="1" x14ac:dyDescent="0.4">
      <c r="A36" s="163"/>
      <c r="B36" s="136" t="s">
        <v>16</v>
      </c>
      <c r="C36" s="164">
        <v>14.8</v>
      </c>
      <c r="D36" s="164">
        <v>15</v>
      </c>
      <c r="E36" s="164">
        <v>14.8</v>
      </c>
      <c r="F36" s="166">
        <v>0</v>
      </c>
      <c r="G36" s="165">
        <v>15</v>
      </c>
      <c r="H36" s="164">
        <v>15</v>
      </c>
      <c r="I36" s="164">
        <v>14</v>
      </c>
      <c r="J36" s="164">
        <v>13.4</v>
      </c>
      <c r="K36" s="164">
        <v>14</v>
      </c>
      <c r="L36" s="197">
        <v>13</v>
      </c>
      <c r="M36" s="197">
        <v>15</v>
      </c>
      <c r="N36" s="197">
        <v>15</v>
      </c>
      <c r="O36" s="164">
        <v>14</v>
      </c>
      <c r="P36" s="165">
        <v>14.25</v>
      </c>
      <c r="Q36" s="197">
        <v>14.17</v>
      </c>
      <c r="R36" s="197">
        <v>15</v>
      </c>
      <c r="S36" s="164">
        <v>13</v>
      </c>
      <c r="T36" s="164">
        <v>16</v>
      </c>
      <c r="U36" s="164">
        <v>15</v>
      </c>
      <c r="V36" s="164">
        <v>15</v>
      </c>
      <c r="W36" s="164">
        <v>14</v>
      </c>
      <c r="X36" s="164">
        <v>15</v>
      </c>
      <c r="Y36" s="164">
        <v>15</v>
      </c>
      <c r="Z36" s="164">
        <v>14</v>
      </c>
      <c r="AA36" s="164">
        <v>15</v>
      </c>
      <c r="AB36" s="164">
        <v>14</v>
      </c>
    </row>
    <row r="37" spans="1:41" ht="27.75" customHeight="1" x14ac:dyDescent="0.4">
      <c r="A37" s="163"/>
      <c r="B37" s="136" t="s">
        <v>17</v>
      </c>
      <c r="C37" s="164">
        <f t="shared" ref="C37:AB37" si="12">IF(C36&gt;0,C35/C36,0)</f>
        <v>13.513513513513512</v>
      </c>
      <c r="D37" s="164">
        <f t="shared" si="12"/>
        <v>10.916666666666666</v>
      </c>
      <c r="E37" s="164">
        <f t="shared" si="12"/>
        <v>13.310810810810811</v>
      </c>
      <c r="F37" s="166">
        <f t="shared" si="12"/>
        <v>0</v>
      </c>
      <c r="G37" s="165">
        <f t="shared" si="12"/>
        <v>9.5388888888888896</v>
      </c>
      <c r="H37" s="164">
        <f t="shared" si="12"/>
        <v>13.45</v>
      </c>
      <c r="I37" s="164">
        <f t="shared" si="12"/>
        <v>13.464285714285714</v>
      </c>
      <c r="J37" s="164">
        <f t="shared" si="12"/>
        <v>12.891791044776118</v>
      </c>
      <c r="K37" s="164">
        <f t="shared" si="12"/>
        <v>9.5595238095238102</v>
      </c>
      <c r="L37" s="197">
        <f t="shared" si="12"/>
        <v>0</v>
      </c>
      <c r="M37" s="197">
        <f t="shared" si="12"/>
        <v>0</v>
      </c>
      <c r="N37" s="197">
        <f t="shared" si="12"/>
        <v>0</v>
      </c>
      <c r="O37" s="164">
        <f t="shared" si="12"/>
        <v>13.946428571428571</v>
      </c>
      <c r="P37" s="165">
        <f t="shared" si="12"/>
        <v>9.1228070175438596</v>
      </c>
      <c r="Q37" s="197">
        <f t="shared" si="12"/>
        <v>0</v>
      </c>
      <c r="R37" s="197">
        <f t="shared" si="12"/>
        <v>0</v>
      </c>
      <c r="S37" s="164">
        <f t="shared" si="12"/>
        <v>15.153846153846153</v>
      </c>
      <c r="T37" s="164">
        <f t="shared" si="12"/>
        <v>12.53125</v>
      </c>
      <c r="U37" s="164">
        <f t="shared" si="12"/>
        <v>13.738888888888889</v>
      </c>
      <c r="V37" s="164">
        <f t="shared" si="12"/>
        <v>13.166666666666666</v>
      </c>
      <c r="W37" s="164">
        <f t="shared" si="12"/>
        <v>12.952380952380953</v>
      </c>
      <c r="X37" s="164">
        <f t="shared" si="12"/>
        <v>10.833333333333334</v>
      </c>
      <c r="Y37" s="164">
        <f t="shared" si="12"/>
        <v>13.133333333333333</v>
      </c>
      <c r="Z37" s="164">
        <f t="shared" si="12"/>
        <v>10.535714285714286</v>
      </c>
      <c r="AA37" s="164">
        <f t="shared" si="12"/>
        <v>9.65</v>
      </c>
      <c r="AB37" s="164">
        <f t="shared" si="12"/>
        <v>10.845238095238097</v>
      </c>
      <c r="AC37" s="167">
        <f>SUM(C37:AB37)</f>
        <v>242.25536774683965</v>
      </c>
      <c r="AE37" s="136" t="s">
        <v>18</v>
      </c>
      <c r="AG37" s="136">
        <f>AI35/11.5</f>
        <v>25.083612040133779</v>
      </c>
    </row>
    <row r="38" spans="1:41" ht="27.75" customHeight="1" x14ac:dyDescent="0.4">
      <c r="A38" s="163"/>
      <c r="B38" s="136" t="s">
        <v>19</v>
      </c>
      <c r="C38" s="164">
        <f t="shared" ref="C38:AB38" si="13">IF(C36&gt;0,11.5,0)</f>
        <v>11.5</v>
      </c>
      <c r="D38" s="164">
        <f t="shared" si="13"/>
        <v>11.5</v>
      </c>
      <c r="E38" s="164">
        <f t="shared" si="13"/>
        <v>11.5</v>
      </c>
      <c r="F38" s="166">
        <f t="shared" si="13"/>
        <v>0</v>
      </c>
      <c r="G38" s="165">
        <f t="shared" si="13"/>
        <v>11.5</v>
      </c>
      <c r="H38" s="164">
        <f t="shared" si="13"/>
        <v>11.5</v>
      </c>
      <c r="I38" s="164">
        <f t="shared" si="13"/>
        <v>11.5</v>
      </c>
      <c r="J38" s="164">
        <f t="shared" si="13"/>
        <v>11.5</v>
      </c>
      <c r="K38" s="164">
        <f t="shared" si="13"/>
        <v>11.5</v>
      </c>
      <c r="L38" s="197">
        <v>0</v>
      </c>
      <c r="M38" s="197">
        <v>0</v>
      </c>
      <c r="N38" s="197">
        <v>0</v>
      </c>
      <c r="O38" s="164">
        <f t="shared" si="13"/>
        <v>11.5</v>
      </c>
      <c r="P38" s="165">
        <f t="shared" si="13"/>
        <v>11.5</v>
      </c>
      <c r="Q38" s="197">
        <v>0</v>
      </c>
      <c r="R38" s="197">
        <v>0</v>
      </c>
      <c r="S38" s="164">
        <f t="shared" si="13"/>
        <v>11.5</v>
      </c>
      <c r="T38" s="164">
        <f t="shared" si="13"/>
        <v>11.5</v>
      </c>
      <c r="U38" s="164">
        <f t="shared" si="13"/>
        <v>11.5</v>
      </c>
      <c r="V38" s="164">
        <f t="shared" si="13"/>
        <v>11.5</v>
      </c>
      <c r="W38" s="164">
        <f t="shared" si="13"/>
        <v>11.5</v>
      </c>
      <c r="X38" s="164">
        <f t="shared" si="13"/>
        <v>11.5</v>
      </c>
      <c r="Y38" s="164">
        <f t="shared" si="13"/>
        <v>11.5</v>
      </c>
      <c r="Z38" s="164">
        <f t="shared" si="13"/>
        <v>11.5</v>
      </c>
      <c r="AA38" s="164">
        <f t="shared" si="13"/>
        <v>11.5</v>
      </c>
      <c r="AB38" s="164">
        <f t="shared" si="13"/>
        <v>11.5</v>
      </c>
      <c r="AC38" s="167">
        <f>SUM(C38:AB38)</f>
        <v>230</v>
      </c>
      <c r="AE38" s="136" t="s">
        <v>20</v>
      </c>
      <c r="AG38" s="136">
        <f>AC39*AG37</f>
        <v>307.40888997089451</v>
      </c>
    </row>
    <row r="39" spans="1:41" ht="27.75" customHeight="1" x14ac:dyDescent="0.4">
      <c r="A39" s="168"/>
      <c r="B39" s="169" t="s">
        <v>21</v>
      </c>
      <c r="C39" s="170">
        <f t="shared" ref="C39:AB39" si="14">IF(C36&gt;0,C37-C38,0)</f>
        <v>2.0135135135135123</v>
      </c>
      <c r="D39" s="170">
        <f t="shared" si="14"/>
        <v>-0.58333333333333393</v>
      </c>
      <c r="E39" s="170">
        <f t="shared" si="14"/>
        <v>1.8108108108108105</v>
      </c>
      <c r="F39" s="172">
        <f t="shared" si="14"/>
        <v>0</v>
      </c>
      <c r="G39" s="171">
        <f t="shared" si="14"/>
        <v>-1.9611111111111104</v>
      </c>
      <c r="H39" s="170">
        <f t="shared" si="14"/>
        <v>1.9499999999999993</v>
      </c>
      <c r="I39" s="170">
        <f t="shared" si="14"/>
        <v>1.9642857142857135</v>
      </c>
      <c r="J39" s="170">
        <f t="shared" si="14"/>
        <v>1.3917910447761184</v>
      </c>
      <c r="K39" s="170">
        <f t="shared" si="14"/>
        <v>-1.9404761904761898</v>
      </c>
      <c r="L39" s="198">
        <f t="shared" si="14"/>
        <v>0</v>
      </c>
      <c r="M39" s="198">
        <f t="shared" si="14"/>
        <v>0</v>
      </c>
      <c r="N39" s="198">
        <f t="shared" si="14"/>
        <v>0</v>
      </c>
      <c r="O39" s="170">
        <f t="shared" si="14"/>
        <v>2.4464285714285712</v>
      </c>
      <c r="P39" s="171">
        <f t="shared" si="14"/>
        <v>-2.3771929824561404</v>
      </c>
      <c r="Q39" s="198">
        <f t="shared" si="14"/>
        <v>0</v>
      </c>
      <c r="R39" s="198">
        <f t="shared" si="14"/>
        <v>0</v>
      </c>
      <c r="S39" s="170">
        <f t="shared" si="14"/>
        <v>3.6538461538461533</v>
      </c>
      <c r="T39" s="170">
        <f t="shared" si="14"/>
        <v>1.03125</v>
      </c>
      <c r="U39" s="170">
        <f t="shared" si="14"/>
        <v>2.2388888888888889</v>
      </c>
      <c r="V39" s="170">
        <f t="shared" si="14"/>
        <v>1.6666666666666661</v>
      </c>
      <c r="W39" s="170">
        <f t="shared" si="14"/>
        <v>1.4523809523809526</v>
      </c>
      <c r="X39" s="170">
        <f t="shared" si="14"/>
        <v>-0.66666666666666607</v>
      </c>
      <c r="Y39" s="170">
        <f t="shared" si="14"/>
        <v>1.6333333333333329</v>
      </c>
      <c r="Z39" s="170">
        <f t="shared" si="14"/>
        <v>-0.96428571428571352</v>
      </c>
      <c r="AA39" s="170">
        <f t="shared" si="14"/>
        <v>-1.8499999999999996</v>
      </c>
      <c r="AB39" s="170">
        <f t="shared" si="14"/>
        <v>-0.65476190476190332</v>
      </c>
      <c r="AC39" s="167">
        <f>SUM(C39:AB39)</f>
        <v>12.255367746839662</v>
      </c>
      <c r="AH39">
        <f>AF39/175</f>
        <v>0</v>
      </c>
    </row>
    <row r="40" spans="1:41" ht="27.75" customHeight="1" thickTop="1" thickBot="1" x14ac:dyDescent="0.45"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</row>
    <row r="41" spans="1:41" ht="27.75" hidden="1" customHeight="1" x14ac:dyDescent="0.4">
      <c r="B41" s="136" t="s">
        <v>29</v>
      </c>
      <c r="C41" s="137">
        <v>1.06</v>
      </c>
      <c r="D41" s="138">
        <v>2.06</v>
      </c>
      <c r="E41" s="138">
        <v>3.06</v>
      </c>
      <c r="F41" s="138">
        <v>4.0599999999999996</v>
      </c>
      <c r="G41" s="138">
        <v>5.0599999999999996</v>
      </c>
      <c r="H41" s="138">
        <v>6.06</v>
      </c>
      <c r="I41" s="138">
        <v>8.06</v>
      </c>
      <c r="J41" s="138">
        <v>9.06</v>
      </c>
      <c r="K41" s="138">
        <v>10.06</v>
      </c>
      <c r="L41" s="138">
        <v>11.06</v>
      </c>
      <c r="M41" s="138">
        <v>12.06</v>
      </c>
      <c r="N41" s="138">
        <v>13.06</v>
      </c>
      <c r="O41" s="138">
        <v>15.06</v>
      </c>
      <c r="P41" s="138">
        <v>16.059999999999999</v>
      </c>
      <c r="Q41" s="138">
        <v>17.059999999999999</v>
      </c>
      <c r="R41" s="138">
        <v>18.059999999999999</v>
      </c>
      <c r="S41" s="138">
        <v>19.059999999999999</v>
      </c>
      <c r="T41" s="138">
        <v>20.059999999999999</v>
      </c>
      <c r="U41" s="138">
        <v>22.06</v>
      </c>
      <c r="V41" s="138">
        <v>23.06</v>
      </c>
      <c r="W41" s="138">
        <v>24.06</v>
      </c>
      <c r="X41" s="141">
        <v>25.06</v>
      </c>
      <c r="Y41" s="142">
        <v>26.06</v>
      </c>
      <c r="Z41" s="142">
        <v>27.06</v>
      </c>
      <c r="AA41" s="142">
        <v>29.06</v>
      </c>
      <c r="AB41" s="142">
        <v>30.06</v>
      </c>
      <c r="AC41" s="144" t="s">
        <v>1</v>
      </c>
      <c r="AD41" s="145" t="s">
        <v>2</v>
      </c>
      <c r="AE41" s="146" t="s">
        <v>3</v>
      </c>
      <c r="AF41" s="147" t="s">
        <v>4</v>
      </c>
      <c r="AG41" s="147" t="s">
        <v>5</v>
      </c>
      <c r="AH41" s="145" t="s">
        <v>6</v>
      </c>
      <c r="AI41" s="145" t="s">
        <v>7</v>
      </c>
      <c r="AJ41" s="148" t="s">
        <v>8</v>
      </c>
      <c r="AK41" s="145" t="s">
        <v>9</v>
      </c>
      <c r="AL41" s="145" t="s">
        <v>10</v>
      </c>
      <c r="AM41" s="149" t="s">
        <v>11</v>
      </c>
      <c r="AN41" s="145" t="s">
        <v>12</v>
      </c>
      <c r="AO41" s="150" t="s">
        <v>13</v>
      </c>
    </row>
    <row r="42" spans="1:41" ht="41.25" hidden="1" customHeight="1" x14ac:dyDescent="0.6">
      <c r="A42" s="151">
        <v>0</v>
      </c>
      <c r="B42" s="152"/>
      <c r="C42" s="180">
        <v>200</v>
      </c>
      <c r="D42" s="181">
        <v>163.75</v>
      </c>
      <c r="E42" s="182">
        <v>197</v>
      </c>
      <c r="F42" s="182">
        <f>177.75+8/6</f>
        <v>179.08333333333334</v>
      </c>
      <c r="G42" s="182">
        <f>136.75+38/6</f>
        <v>143.08333333333334</v>
      </c>
      <c r="H42" s="182">
        <v>201.75</v>
      </c>
      <c r="I42" s="182">
        <v>188.5</v>
      </c>
      <c r="J42" s="182">
        <v>172.75</v>
      </c>
      <c r="K42" s="182">
        <f>131+17/6</f>
        <v>133.83333333333334</v>
      </c>
      <c r="L42" s="182">
        <f>168.5+38/6</f>
        <v>174.83333333333334</v>
      </c>
      <c r="M42" s="182">
        <v>205</v>
      </c>
      <c r="N42" s="182">
        <f>196.5+10/6</f>
        <v>198.16666666666666</v>
      </c>
      <c r="O42" s="182">
        <v>195.25</v>
      </c>
      <c r="P42" s="182">
        <v>171</v>
      </c>
      <c r="Q42" s="182">
        <v>186</v>
      </c>
      <c r="R42" s="182">
        <v>200.5</v>
      </c>
      <c r="S42" s="182">
        <v>197</v>
      </c>
      <c r="T42" s="182">
        <v>200.5</v>
      </c>
      <c r="U42" s="182">
        <f>205.25+5/6</f>
        <v>206.08333333333334</v>
      </c>
      <c r="V42" s="182">
        <v>197.5</v>
      </c>
      <c r="W42" s="182">
        <f>171.5+59/6</f>
        <v>181.33333333333334</v>
      </c>
      <c r="X42" s="182">
        <v>162.5</v>
      </c>
      <c r="Y42" s="182">
        <f>190+42/6</f>
        <v>197</v>
      </c>
      <c r="Z42" s="182">
        <v>147.5</v>
      </c>
      <c r="AA42" s="182">
        <v>144.75</v>
      </c>
      <c r="AB42" s="182">
        <f>149.5+14/6</f>
        <v>151.83333333333334</v>
      </c>
      <c r="AC42" s="157">
        <f>SUM(C42:AB42)</f>
        <v>4696.5</v>
      </c>
      <c r="AD42" s="158">
        <f>COUNTIF(C43:AB43,"&gt;0")</f>
        <v>26</v>
      </c>
      <c r="AE42" s="158">
        <f>AD42*$AE$11</f>
        <v>4420</v>
      </c>
      <c r="AF42" s="158">
        <f>AC42-AE42</f>
        <v>276.5</v>
      </c>
      <c r="AG42" s="158">
        <f>$AG$11</f>
        <v>26</v>
      </c>
      <c r="AH42" s="158">
        <f>AF42/175</f>
        <v>1.58</v>
      </c>
      <c r="AI42" s="158">
        <f>AK42/AG42</f>
        <v>250</v>
      </c>
      <c r="AJ42" s="159">
        <f>AI42*AH42</f>
        <v>395</v>
      </c>
      <c r="AK42" s="158">
        <v>6500</v>
      </c>
      <c r="AL42" s="160">
        <f>AK42+AJ42</f>
        <v>6895</v>
      </c>
      <c r="AM42" s="183"/>
      <c r="AN42" s="161"/>
      <c r="AO42" s="161"/>
    </row>
    <row r="43" spans="1:41" ht="27.75" hidden="1" customHeight="1" x14ac:dyDescent="0.4">
      <c r="A43" s="163"/>
      <c r="B43" s="136" t="s">
        <v>16</v>
      </c>
      <c r="C43" s="184">
        <v>14.8</v>
      </c>
      <c r="D43" s="184">
        <v>15</v>
      </c>
      <c r="E43" s="184">
        <v>14.8</v>
      </c>
      <c r="F43" s="184">
        <v>13.2</v>
      </c>
      <c r="G43" s="184">
        <v>15</v>
      </c>
      <c r="H43" s="184">
        <v>15</v>
      </c>
      <c r="I43" s="184">
        <v>14</v>
      </c>
      <c r="J43" s="184">
        <v>13.4</v>
      </c>
      <c r="K43" s="184">
        <v>14</v>
      </c>
      <c r="L43" s="184">
        <v>13</v>
      </c>
      <c r="M43" s="184">
        <v>15</v>
      </c>
      <c r="N43" s="184">
        <v>15</v>
      </c>
      <c r="O43" s="184">
        <v>14</v>
      </c>
      <c r="P43" s="184">
        <v>14.25</v>
      </c>
      <c r="Q43" s="184">
        <v>14.17</v>
      </c>
      <c r="R43" s="184">
        <v>15</v>
      </c>
      <c r="S43" s="185">
        <v>13</v>
      </c>
      <c r="T43" s="185">
        <v>16</v>
      </c>
      <c r="U43" s="184">
        <v>15</v>
      </c>
      <c r="V43" s="185">
        <v>15</v>
      </c>
      <c r="W43" s="185">
        <v>14</v>
      </c>
      <c r="X43" s="184">
        <v>15</v>
      </c>
      <c r="Y43" s="185">
        <v>15</v>
      </c>
      <c r="Z43" s="185">
        <v>14</v>
      </c>
      <c r="AA43" s="185">
        <v>15</v>
      </c>
      <c r="AB43" s="185">
        <v>14</v>
      </c>
    </row>
    <row r="44" spans="1:41" ht="27.75" hidden="1" customHeight="1" x14ac:dyDescent="0.4">
      <c r="A44" s="163"/>
      <c r="B44" s="136" t="s">
        <v>17</v>
      </c>
      <c r="C44" s="184">
        <f t="shared" ref="C44:AB44" si="15">IF(C43&gt;0,C42/C43,0)</f>
        <v>13.513513513513512</v>
      </c>
      <c r="D44" s="184">
        <f t="shared" si="15"/>
        <v>10.916666666666666</v>
      </c>
      <c r="E44" s="184">
        <f t="shared" si="15"/>
        <v>13.310810810810811</v>
      </c>
      <c r="F44" s="184">
        <f t="shared" si="15"/>
        <v>13.566919191919194</v>
      </c>
      <c r="G44" s="184">
        <f t="shared" si="15"/>
        <v>9.5388888888888896</v>
      </c>
      <c r="H44" s="184">
        <f t="shared" si="15"/>
        <v>13.45</v>
      </c>
      <c r="I44" s="184">
        <f t="shared" si="15"/>
        <v>13.464285714285714</v>
      </c>
      <c r="J44" s="184">
        <f t="shared" si="15"/>
        <v>12.891791044776118</v>
      </c>
      <c r="K44" s="184">
        <f t="shared" si="15"/>
        <v>9.5595238095238102</v>
      </c>
      <c r="L44" s="184">
        <f t="shared" si="15"/>
        <v>13.448717948717949</v>
      </c>
      <c r="M44" s="184">
        <f t="shared" si="15"/>
        <v>13.666666666666666</v>
      </c>
      <c r="N44" s="184">
        <f t="shared" si="15"/>
        <v>13.21111111111111</v>
      </c>
      <c r="O44" s="184">
        <f t="shared" si="15"/>
        <v>13.946428571428571</v>
      </c>
      <c r="P44" s="184">
        <f t="shared" si="15"/>
        <v>12</v>
      </c>
      <c r="Q44" s="184">
        <f t="shared" si="15"/>
        <v>13.126323218066338</v>
      </c>
      <c r="R44" s="184">
        <f t="shared" si="15"/>
        <v>13.366666666666667</v>
      </c>
      <c r="S44" s="184">
        <f t="shared" si="15"/>
        <v>15.153846153846153</v>
      </c>
      <c r="T44" s="184">
        <f t="shared" si="15"/>
        <v>12.53125</v>
      </c>
      <c r="U44" s="184">
        <f t="shared" si="15"/>
        <v>13.738888888888889</v>
      </c>
      <c r="V44" s="184">
        <f t="shared" si="15"/>
        <v>13.166666666666666</v>
      </c>
      <c r="W44" s="184">
        <f t="shared" si="15"/>
        <v>12.952380952380953</v>
      </c>
      <c r="X44" s="184">
        <f t="shared" si="15"/>
        <v>10.833333333333334</v>
      </c>
      <c r="Y44" s="184">
        <f t="shared" si="15"/>
        <v>13.133333333333333</v>
      </c>
      <c r="Z44" s="184">
        <f t="shared" si="15"/>
        <v>10.535714285714286</v>
      </c>
      <c r="AA44" s="184">
        <f t="shared" si="15"/>
        <v>9.65</v>
      </c>
      <c r="AB44" s="184">
        <f t="shared" si="15"/>
        <v>10.845238095238097</v>
      </c>
      <c r="AC44" s="167">
        <f>SUM(C44:AB44)</f>
        <v>325.5189655324437</v>
      </c>
      <c r="AE44" s="136" t="s">
        <v>18</v>
      </c>
      <c r="AG44" s="136">
        <f>AI42/11.5</f>
        <v>21.739130434782609</v>
      </c>
      <c r="AI44" s="136"/>
      <c r="AJ44" s="136"/>
    </row>
    <row r="45" spans="1:41" ht="27.75" hidden="1" customHeight="1" x14ac:dyDescent="0.4">
      <c r="A45" s="163"/>
      <c r="B45" s="136" t="s">
        <v>19</v>
      </c>
      <c r="C45" s="184">
        <f t="shared" ref="C45:AB45" si="16">IF(C43&gt;0,11.5,0)</f>
        <v>11.5</v>
      </c>
      <c r="D45" s="184">
        <f t="shared" si="16"/>
        <v>11.5</v>
      </c>
      <c r="E45" s="184">
        <f t="shared" si="16"/>
        <v>11.5</v>
      </c>
      <c r="F45" s="184">
        <f t="shared" si="16"/>
        <v>11.5</v>
      </c>
      <c r="G45" s="184">
        <f t="shared" si="16"/>
        <v>11.5</v>
      </c>
      <c r="H45" s="184">
        <f t="shared" si="16"/>
        <v>11.5</v>
      </c>
      <c r="I45" s="184">
        <f t="shared" si="16"/>
        <v>11.5</v>
      </c>
      <c r="J45" s="184">
        <f t="shared" si="16"/>
        <v>11.5</v>
      </c>
      <c r="K45" s="184">
        <f t="shared" si="16"/>
        <v>11.5</v>
      </c>
      <c r="L45" s="184">
        <f t="shared" si="16"/>
        <v>11.5</v>
      </c>
      <c r="M45" s="184">
        <f t="shared" si="16"/>
        <v>11.5</v>
      </c>
      <c r="N45" s="184">
        <f t="shared" si="16"/>
        <v>11.5</v>
      </c>
      <c r="O45" s="184">
        <f t="shared" si="16"/>
        <v>11.5</v>
      </c>
      <c r="P45" s="184">
        <f t="shared" si="16"/>
        <v>11.5</v>
      </c>
      <c r="Q45" s="184">
        <f t="shared" si="16"/>
        <v>11.5</v>
      </c>
      <c r="R45" s="184">
        <f t="shared" si="16"/>
        <v>11.5</v>
      </c>
      <c r="S45" s="184">
        <f t="shared" si="16"/>
        <v>11.5</v>
      </c>
      <c r="T45" s="184">
        <f t="shared" si="16"/>
        <v>11.5</v>
      </c>
      <c r="U45" s="184">
        <f t="shared" si="16"/>
        <v>11.5</v>
      </c>
      <c r="V45" s="184">
        <f t="shared" si="16"/>
        <v>11.5</v>
      </c>
      <c r="W45" s="184">
        <f t="shared" si="16"/>
        <v>11.5</v>
      </c>
      <c r="X45" s="184">
        <f t="shared" si="16"/>
        <v>11.5</v>
      </c>
      <c r="Y45" s="184">
        <f t="shared" si="16"/>
        <v>11.5</v>
      </c>
      <c r="Z45" s="184">
        <f t="shared" si="16"/>
        <v>11.5</v>
      </c>
      <c r="AA45" s="184">
        <f t="shared" si="16"/>
        <v>11.5</v>
      </c>
      <c r="AB45" s="184">
        <f t="shared" si="16"/>
        <v>11.5</v>
      </c>
      <c r="AC45" s="167">
        <f>SUM(C45:AB45)</f>
        <v>299</v>
      </c>
      <c r="AE45" s="136" t="s">
        <v>20</v>
      </c>
      <c r="AG45" s="136">
        <f>AC46*AG44</f>
        <v>576.49925070529821</v>
      </c>
      <c r="AJ45" s="136"/>
      <c r="AL45" s="136"/>
    </row>
    <row r="46" spans="1:41" ht="27.75" hidden="1" customHeight="1" x14ac:dyDescent="0.4">
      <c r="A46" s="168"/>
      <c r="B46" s="169" t="s">
        <v>21</v>
      </c>
      <c r="C46" s="186">
        <f t="shared" ref="C46:AB46" si="17">IF(C43&gt;0,C44-C45,0)</f>
        <v>2.0135135135135123</v>
      </c>
      <c r="D46" s="186">
        <f t="shared" si="17"/>
        <v>-0.58333333333333393</v>
      </c>
      <c r="E46" s="186">
        <f t="shared" si="17"/>
        <v>1.8108108108108105</v>
      </c>
      <c r="F46" s="186">
        <f t="shared" si="17"/>
        <v>2.0669191919191938</v>
      </c>
      <c r="G46" s="186">
        <f t="shared" si="17"/>
        <v>-1.9611111111111104</v>
      </c>
      <c r="H46" s="186">
        <f t="shared" si="17"/>
        <v>1.9499999999999993</v>
      </c>
      <c r="I46" s="186">
        <f t="shared" si="17"/>
        <v>1.9642857142857135</v>
      </c>
      <c r="J46" s="186">
        <f t="shared" si="17"/>
        <v>1.3917910447761184</v>
      </c>
      <c r="K46" s="186">
        <f t="shared" si="17"/>
        <v>-1.9404761904761898</v>
      </c>
      <c r="L46" s="186">
        <f t="shared" si="17"/>
        <v>1.9487179487179489</v>
      </c>
      <c r="M46" s="186">
        <f t="shared" si="17"/>
        <v>2.1666666666666661</v>
      </c>
      <c r="N46" s="186">
        <f t="shared" si="17"/>
        <v>1.7111111111111104</v>
      </c>
      <c r="O46" s="186">
        <f t="shared" si="17"/>
        <v>2.4464285714285712</v>
      </c>
      <c r="P46" s="186">
        <f t="shared" si="17"/>
        <v>0.5</v>
      </c>
      <c r="Q46" s="186">
        <f t="shared" si="17"/>
        <v>1.6263232180663376</v>
      </c>
      <c r="R46" s="186">
        <f t="shared" si="17"/>
        <v>1.8666666666666671</v>
      </c>
      <c r="S46" s="186">
        <f t="shared" si="17"/>
        <v>3.6538461538461533</v>
      </c>
      <c r="T46" s="186">
        <f t="shared" si="17"/>
        <v>1.03125</v>
      </c>
      <c r="U46" s="186">
        <f t="shared" si="17"/>
        <v>2.2388888888888889</v>
      </c>
      <c r="V46" s="186">
        <f t="shared" si="17"/>
        <v>1.6666666666666661</v>
      </c>
      <c r="W46" s="186">
        <f t="shared" si="17"/>
        <v>1.4523809523809526</v>
      </c>
      <c r="X46" s="186">
        <f t="shared" si="17"/>
        <v>-0.66666666666666607</v>
      </c>
      <c r="Y46" s="186">
        <f t="shared" si="17"/>
        <v>1.6333333333333329</v>
      </c>
      <c r="Z46" s="186">
        <f t="shared" si="17"/>
        <v>-0.96428571428571352</v>
      </c>
      <c r="AA46" s="186">
        <f t="shared" si="17"/>
        <v>-1.8499999999999996</v>
      </c>
      <c r="AB46" s="186">
        <f t="shared" si="17"/>
        <v>-0.65476190476190332</v>
      </c>
      <c r="AC46" s="167">
        <f>SUM(C46:AB46)</f>
        <v>26.518965532443715</v>
      </c>
      <c r="AH46">
        <f>AF46/175</f>
        <v>0</v>
      </c>
    </row>
    <row r="47" spans="1:41" ht="27.75" hidden="1" customHeight="1" x14ac:dyDescent="0.4"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</row>
    <row r="48" spans="1:41" ht="27.75" hidden="1" customHeight="1" x14ac:dyDescent="0.4">
      <c r="C48" s="137">
        <v>1.06</v>
      </c>
      <c r="D48" s="138">
        <v>2.06</v>
      </c>
      <c r="E48" s="138">
        <v>3.06</v>
      </c>
      <c r="F48" s="138">
        <v>4.0599999999999996</v>
      </c>
      <c r="G48" s="138">
        <v>5.0599999999999996</v>
      </c>
      <c r="H48" s="138">
        <v>6.06</v>
      </c>
      <c r="I48" s="138">
        <v>8.06</v>
      </c>
      <c r="J48" s="138">
        <v>9.06</v>
      </c>
      <c r="K48" s="138">
        <v>10.06</v>
      </c>
      <c r="L48" s="138">
        <v>11.06</v>
      </c>
      <c r="M48" s="138">
        <v>12.06</v>
      </c>
      <c r="N48" s="138">
        <v>13.06</v>
      </c>
      <c r="O48" s="138">
        <v>15.06</v>
      </c>
      <c r="P48" s="138">
        <v>16.059999999999999</v>
      </c>
      <c r="Q48" s="138">
        <v>17.059999999999999</v>
      </c>
      <c r="R48" s="138">
        <v>18.059999999999999</v>
      </c>
      <c r="S48" s="138">
        <v>19.059999999999999</v>
      </c>
      <c r="T48" s="138">
        <v>20.059999999999999</v>
      </c>
      <c r="U48" s="138">
        <v>22.06</v>
      </c>
      <c r="V48" s="138">
        <v>23.06</v>
      </c>
      <c r="W48" s="138">
        <v>24.06</v>
      </c>
      <c r="X48" s="141">
        <v>25.06</v>
      </c>
      <c r="Y48" s="142">
        <v>26.06</v>
      </c>
      <c r="Z48" s="142">
        <v>27.06</v>
      </c>
      <c r="AA48" s="142">
        <v>29.06</v>
      </c>
      <c r="AB48" s="142">
        <v>30.06</v>
      </c>
      <c r="AC48" s="144" t="s">
        <v>1</v>
      </c>
      <c r="AD48" s="145" t="s">
        <v>2</v>
      </c>
      <c r="AE48" s="146" t="s">
        <v>3</v>
      </c>
      <c r="AF48" s="147" t="s">
        <v>4</v>
      </c>
      <c r="AG48" s="147" t="s">
        <v>5</v>
      </c>
      <c r="AH48" s="145" t="s">
        <v>6</v>
      </c>
      <c r="AI48" s="145" t="s">
        <v>7</v>
      </c>
      <c r="AJ48" s="148" t="s">
        <v>8</v>
      </c>
      <c r="AK48" s="145" t="s">
        <v>9</v>
      </c>
      <c r="AL48" s="145" t="s">
        <v>10</v>
      </c>
      <c r="AM48" s="149" t="s">
        <v>11</v>
      </c>
      <c r="AN48" s="145" t="s">
        <v>12</v>
      </c>
      <c r="AO48" s="150" t="s">
        <v>13</v>
      </c>
    </row>
    <row r="49" spans="1:41" ht="49.5" hidden="1" customHeight="1" x14ac:dyDescent="0.6">
      <c r="A49" s="151">
        <v>0</v>
      </c>
      <c r="B49" s="152"/>
      <c r="C49" s="180">
        <v>200</v>
      </c>
      <c r="D49" s="181">
        <v>163.75</v>
      </c>
      <c r="E49" s="182">
        <v>197</v>
      </c>
      <c r="F49" s="182">
        <f>177.75+8/6</f>
        <v>179.08333333333334</v>
      </c>
      <c r="G49" s="182">
        <f>136.75+38/6</f>
        <v>143.08333333333334</v>
      </c>
      <c r="H49" s="182">
        <v>201.75</v>
      </c>
      <c r="I49" s="182">
        <v>188.5</v>
      </c>
      <c r="J49" s="182">
        <v>172.75</v>
      </c>
      <c r="K49" s="182">
        <f>131+17/6</f>
        <v>133.83333333333334</v>
      </c>
      <c r="L49" s="182">
        <f>168.5+38/6</f>
        <v>174.83333333333334</v>
      </c>
      <c r="M49" s="182">
        <v>205</v>
      </c>
      <c r="N49" s="182">
        <f>196.5+10/6</f>
        <v>198.16666666666666</v>
      </c>
      <c r="O49" s="182">
        <v>195.25</v>
      </c>
      <c r="P49" s="182">
        <v>171</v>
      </c>
      <c r="Q49" s="182">
        <v>186</v>
      </c>
      <c r="R49" s="182">
        <v>200.5</v>
      </c>
      <c r="S49" s="182">
        <v>197</v>
      </c>
      <c r="T49" s="182">
        <v>200.5</v>
      </c>
      <c r="U49" s="182">
        <f>205.25+5/6</f>
        <v>206.08333333333334</v>
      </c>
      <c r="V49" s="182">
        <v>197.5</v>
      </c>
      <c r="W49" s="182">
        <f>171.5+59/6</f>
        <v>181.33333333333334</v>
      </c>
      <c r="X49" s="182">
        <v>162.5</v>
      </c>
      <c r="Y49" s="182">
        <f>190+42/6</f>
        <v>197</v>
      </c>
      <c r="Z49" s="182">
        <v>147.5</v>
      </c>
      <c r="AA49" s="182">
        <v>144.75</v>
      </c>
      <c r="AB49" s="182">
        <f>149.5+14/6</f>
        <v>151.83333333333334</v>
      </c>
      <c r="AC49" s="157">
        <f>SUM(C49:AB49)</f>
        <v>4696.5</v>
      </c>
      <c r="AD49" s="158">
        <f>COUNTIF(C50:AB50,"&gt;0")</f>
        <v>26</v>
      </c>
      <c r="AE49" s="158">
        <f>AD49*$AE$11</f>
        <v>4420</v>
      </c>
      <c r="AF49" s="158">
        <f>AC49-AE49</f>
        <v>276.5</v>
      </c>
      <c r="AG49" s="158">
        <f>$AG$11</f>
        <v>26</v>
      </c>
      <c r="AH49" s="158">
        <f>AF49/175</f>
        <v>1.58</v>
      </c>
      <c r="AI49" s="158">
        <f>AK49/AG49</f>
        <v>307.69230769230768</v>
      </c>
      <c r="AJ49" s="159">
        <f>AI49*AH49</f>
        <v>486.15384615384613</v>
      </c>
      <c r="AK49" s="158">
        <v>8000</v>
      </c>
      <c r="AL49" s="160">
        <f>AK49+AJ49</f>
        <v>8486.1538461538457</v>
      </c>
      <c r="AM49" s="152"/>
      <c r="AN49" s="161"/>
      <c r="AO49" s="161"/>
    </row>
    <row r="50" spans="1:41" ht="27.75" hidden="1" customHeight="1" x14ac:dyDescent="0.4">
      <c r="A50" s="163"/>
      <c r="B50" s="136" t="s">
        <v>16</v>
      </c>
      <c r="C50" s="184">
        <v>14.8</v>
      </c>
      <c r="D50" s="184">
        <v>15</v>
      </c>
      <c r="E50" s="184">
        <v>14.8</v>
      </c>
      <c r="F50" s="184">
        <v>13.2</v>
      </c>
      <c r="G50" s="184">
        <v>15</v>
      </c>
      <c r="H50" s="184">
        <v>15</v>
      </c>
      <c r="I50" s="184">
        <v>14</v>
      </c>
      <c r="J50" s="184">
        <v>13.4</v>
      </c>
      <c r="K50" s="184">
        <v>14</v>
      </c>
      <c r="L50" s="184">
        <v>13</v>
      </c>
      <c r="M50" s="184">
        <v>15</v>
      </c>
      <c r="N50" s="184">
        <v>15</v>
      </c>
      <c r="O50" s="184">
        <v>14</v>
      </c>
      <c r="P50" s="184">
        <v>14.25</v>
      </c>
      <c r="Q50" s="184">
        <v>14.17</v>
      </c>
      <c r="R50" s="184">
        <v>15</v>
      </c>
      <c r="S50" s="185">
        <v>13</v>
      </c>
      <c r="T50" s="185">
        <v>16</v>
      </c>
      <c r="U50" s="184">
        <v>15</v>
      </c>
      <c r="V50" s="185">
        <v>15</v>
      </c>
      <c r="W50" s="185">
        <v>14</v>
      </c>
      <c r="X50" s="184">
        <v>15</v>
      </c>
      <c r="Y50" s="185">
        <v>15</v>
      </c>
      <c r="Z50" s="185">
        <v>14</v>
      </c>
      <c r="AA50" s="185">
        <v>15</v>
      </c>
      <c r="AB50" s="185">
        <v>14</v>
      </c>
    </row>
    <row r="51" spans="1:41" ht="27.75" hidden="1" customHeight="1" x14ac:dyDescent="0.4">
      <c r="A51" s="163"/>
      <c r="B51" s="136" t="s">
        <v>17</v>
      </c>
      <c r="C51" s="184">
        <f t="shared" ref="C51:AB51" si="18">IF(C50&gt;0,C49/C50,0)</f>
        <v>13.513513513513512</v>
      </c>
      <c r="D51" s="184">
        <f t="shared" si="18"/>
        <v>10.916666666666666</v>
      </c>
      <c r="E51" s="184">
        <f t="shared" si="18"/>
        <v>13.310810810810811</v>
      </c>
      <c r="F51" s="184">
        <f t="shared" si="18"/>
        <v>13.566919191919194</v>
      </c>
      <c r="G51" s="184">
        <f t="shared" si="18"/>
        <v>9.5388888888888896</v>
      </c>
      <c r="H51" s="184">
        <f t="shared" si="18"/>
        <v>13.45</v>
      </c>
      <c r="I51" s="184">
        <f t="shared" si="18"/>
        <v>13.464285714285714</v>
      </c>
      <c r="J51" s="184">
        <f t="shared" si="18"/>
        <v>12.891791044776118</v>
      </c>
      <c r="K51" s="184">
        <f t="shared" si="18"/>
        <v>9.5595238095238102</v>
      </c>
      <c r="L51" s="184">
        <f t="shared" si="18"/>
        <v>13.448717948717949</v>
      </c>
      <c r="M51" s="184">
        <f t="shared" si="18"/>
        <v>13.666666666666666</v>
      </c>
      <c r="N51" s="184">
        <f t="shared" si="18"/>
        <v>13.21111111111111</v>
      </c>
      <c r="O51" s="184">
        <f t="shared" si="18"/>
        <v>13.946428571428571</v>
      </c>
      <c r="P51" s="184">
        <f t="shared" si="18"/>
        <v>12</v>
      </c>
      <c r="Q51" s="184">
        <f t="shared" si="18"/>
        <v>13.126323218066338</v>
      </c>
      <c r="R51" s="184">
        <f t="shared" si="18"/>
        <v>13.366666666666667</v>
      </c>
      <c r="S51" s="184">
        <f t="shared" si="18"/>
        <v>15.153846153846153</v>
      </c>
      <c r="T51" s="184">
        <f t="shared" si="18"/>
        <v>12.53125</v>
      </c>
      <c r="U51" s="184">
        <f t="shared" si="18"/>
        <v>13.738888888888889</v>
      </c>
      <c r="V51" s="184">
        <f t="shared" si="18"/>
        <v>13.166666666666666</v>
      </c>
      <c r="W51" s="184">
        <f t="shared" si="18"/>
        <v>12.952380952380953</v>
      </c>
      <c r="X51" s="184">
        <f t="shared" si="18"/>
        <v>10.833333333333334</v>
      </c>
      <c r="Y51" s="184">
        <f t="shared" si="18"/>
        <v>13.133333333333333</v>
      </c>
      <c r="Z51" s="184">
        <f t="shared" si="18"/>
        <v>10.535714285714286</v>
      </c>
      <c r="AA51" s="184">
        <f t="shared" si="18"/>
        <v>9.65</v>
      </c>
      <c r="AB51" s="184">
        <f t="shared" si="18"/>
        <v>10.845238095238097</v>
      </c>
      <c r="AC51" s="167">
        <f>SUM(C51:AB51)</f>
        <v>325.5189655324437</v>
      </c>
      <c r="AE51" s="136" t="s">
        <v>18</v>
      </c>
      <c r="AG51" s="136">
        <f>AI49/11.5</f>
        <v>26.755852842809364</v>
      </c>
    </row>
    <row r="52" spans="1:41" ht="27.75" hidden="1" customHeight="1" x14ac:dyDescent="0.4">
      <c r="A52" s="163"/>
      <c r="B52" s="136" t="s">
        <v>19</v>
      </c>
      <c r="C52" s="184">
        <f t="shared" ref="C52:AB52" si="19">IF(C50&gt;0,11.5,0)</f>
        <v>11.5</v>
      </c>
      <c r="D52" s="184">
        <f t="shared" si="19"/>
        <v>11.5</v>
      </c>
      <c r="E52" s="184">
        <f t="shared" si="19"/>
        <v>11.5</v>
      </c>
      <c r="F52" s="184">
        <f t="shared" si="19"/>
        <v>11.5</v>
      </c>
      <c r="G52" s="184">
        <f t="shared" si="19"/>
        <v>11.5</v>
      </c>
      <c r="H52" s="184">
        <f t="shared" si="19"/>
        <v>11.5</v>
      </c>
      <c r="I52" s="184">
        <f t="shared" si="19"/>
        <v>11.5</v>
      </c>
      <c r="J52" s="184">
        <f t="shared" si="19"/>
        <v>11.5</v>
      </c>
      <c r="K52" s="184">
        <f t="shared" si="19"/>
        <v>11.5</v>
      </c>
      <c r="L52" s="184">
        <f t="shared" si="19"/>
        <v>11.5</v>
      </c>
      <c r="M52" s="184">
        <f t="shared" si="19"/>
        <v>11.5</v>
      </c>
      <c r="N52" s="184">
        <f t="shared" si="19"/>
        <v>11.5</v>
      </c>
      <c r="O52" s="184">
        <f t="shared" si="19"/>
        <v>11.5</v>
      </c>
      <c r="P52" s="184">
        <f t="shared" si="19"/>
        <v>11.5</v>
      </c>
      <c r="Q52" s="184">
        <f t="shared" si="19"/>
        <v>11.5</v>
      </c>
      <c r="R52" s="184">
        <f t="shared" si="19"/>
        <v>11.5</v>
      </c>
      <c r="S52" s="184">
        <f t="shared" si="19"/>
        <v>11.5</v>
      </c>
      <c r="T52" s="184">
        <f t="shared" si="19"/>
        <v>11.5</v>
      </c>
      <c r="U52" s="184">
        <f t="shared" si="19"/>
        <v>11.5</v>
      </c>
      <c r="V52" s="184">
        <f t="shared" si="19"/>
        <v>11.5</v>
      </c>
      <c r="W52" s="184">
        <f t="shared" si="19"/>
        <v>11.5</v>
      </c>
      <c r="X52" s="184">
        <f t="shared" si="19"/>
        <v>11.5</v>
      </c>
      <c r="Y52" s="184">
        <f t="shared" si="19"/>
        <v>11.5</v>
      </c>
      <c r="Z52" s="184">
        <f t="shared" si="19"/>
        <v>11.5</v>
      </c>
      <c r="AA52" s="184">
        <f t="shared" si="19"/>
        <v>11.5</v>
      </c>
      <c r="AB52" s="184">
        <f t="shared" si="19"/>
        <v>11.5</v>
      </c>
      <c r="AC52" s="167">
        <f>SUM(C52:AB52)</f>
        <v>299</v>
      </c>
      <c r="AE52" s="136" t="s">
        <v>20</v>
      </c>
      <c r="AG52" s="136">
        <f>AC53*AG51</f>
        <v>709.53753932959773</v>
      </c>
    </row>
    <row r="53" spans="1:41" ht="27.75" hidden="1" customHeight="1" x14ac:dyDescent="0.4">
      <c r="A53" s="168"/>
      <c r="B53" s="169" t="s">
        <v>21</v>
      </c>
      <c r="C53" s="187">
        <f t="shared" ref="C53:AB53" si="20">IF(C50&gt;0,C51-C52,0)</f>
        <v>2.0135135135135123</v>
      </c>
      <c r="D53" s="187">
        <f t="shared" si="20"/>
        <v>-0.58333333333333393</v>
      </c>
      <c r="E53" s="187">
        <f t="shared" si="20"/>
        <v>1.8108108108108105</v>
      </c>
      <c r="F53" s="187">
        <f t="shared" si="20"/>
        <v>2.0669191919191938</v>
      </c>
      <c r="G53" s="187">
        <f t="shared" si="20"/>
        <v>-1.9611111111111104</v>
      </c>
      <c r="H53" s="187">
        <f t="shared" si="20"/>
        <v>1.9499999999999993</v>
      </c>
      <c r="I53" s="187">
        <f t="shared" si="20"/>
        <v>1.9642857142857135</v>
      </c>
      <c r="J53" s="187">
        <f t="shared" si="20"/>
        <v>1.3917910447761184</v>
      </c>
      <c r="K53" s="187">
        <f t="shared" si="20"/>
        <v>-1.9404761904761898</v>
      </c>
      <c r="L53" s="187">
        <f t="shared" si="20"/>
        <v>1.9487179487179489</v>
      </c>
      <c r="M53" s="187">
        <f t="shared" si="20"/>
        <v>2.1666666666666661</v>
      </c>
      <c r="N53" s="187">
        <f t="shared" si="20"/>
        <v>1.7111111111111104</v>
      </c>
      <c r="O53" s="187">
        <f t="shared" si="20"/>
        <v>2.4464285714285712</v>
      </c>
      <c r="P53" s="187">
        <f t="shared" si="20"/>
        <v>0.5</v>
      </c>
      <c r="Q53" s="187">
        <f t="shared" si="20"/>
        <v>1.6263232180663376</v>
      </c>
      <c r="R53" s="187">
        <f t="shared" si="20"/>
        <v>1.8666666666666671</v>
      </c>
      <c r="S53" s="187">
        <f t="shared" si="20"/>
        <v>3.6538461538461533</v>
      </c>
      <c r="T53" s="187">
        <f t="shared" si="20"/>
        <v>1.03125</v>
      </c>
      <c r="U53" s="187">
        <f t="shared" si="20"/>
        <v>2.2388888888888889</v>
      </c>
      <c r="V53" s="187">
        <f t="shared" si="20"/>
        <v>1.6666666666666661</v>
      </c>
      <c r="W53" s="187">
        <f t="shared" si="20"/>
        <v>1.4523809523809526</v>
      </c>
      <c r="X53" s="187">
        <f t="shared" si="20"/>
        <v>-0.66666666666666607</v>
      </c>
      <c r="Y53" s="187">
        <f t="shared" si="20"/>
        <v>1.6333333333333329</v>
      </c>
      <c r="Z53" s="187">
        <f t="shared" si="20"/>
        <v>-0.96428571428571352</v>
      </c>
      <c r="AA53" s="187">
        <f t="shared" si="20"/>
        <v>-1.8499999999999996</v>
      </c>
      <c r="AB53" s="187">
        <f t="shared" si="20"/>
        <v>-0.65476190476190332</v>
      </c>
      <c r="AC53" s="167">
        <f>SUM(C53:AB53)</f>
        <v>26.518965532443715</v>
      </c>
      <c r="AH53">
        <f>AF53/175</f>
        <v>0</v>
      </c>
    </row>
    <row r="54" spans="1:41" ht="27.75" customHeight="1" thickTop="1" thickBot="1" x14ac:dyDescent="0.45">
      <c r="B54" s="136" t="s">
        <v>30</v>
      </c>
      <c r="C54" s="174">
        <v>1.06</v>
      </c>
      <c r="D54" s="138">
        <v>2.06</v>
      </c>
      <c r="E54" s="138">
        <v>3.06</v>
      </c>
      <c r="F54" s="138">
        <v>4.0599999999999996</v>
      </c>
      <c r="G54" s="138">
        <v>5.0599999999999996</v>
      </c>
      <c r="H54" s="138">
        <v>6.06</v>
      </c>
      <c r="I54" s="138">
        <v>8.06</v>
      </c>
      <c r="J54" s="138">
        <v>9.06</v>
      </c>
      <c r="K54" s="138">
        <v>10.06</v>
      </c>
      <c r="L54" s="138">
        <v>11.06</v>
      </c>
      <c r="M54" s="138">
        <v>12.06</v>
      </c>
      <c r="N54" s="138">
        <v>13.06</v>
      </c>
      <c r="O54" s="138">
        <v>15.06</v>
      </c>
      <c r="P54" s="138">
        <v>16.059999999999999</v>
      </c>
      <c r="Q54" s="138">
        <v>17.059999999999999</v>
      </c>
      <c r="R54" s="138">
        <v>18.059999999999999</v>
      </c>
      <c r="S54" s="138">
        <v>19.059999999999999</v>
      </c>
      <c r="T54" s="138">
        <v>20.059999999999999</v>
      </c>
      <c r="U54" s="138">
        <v>22.06</v>
      </c>
      <c r="V54" s="196">
        <v>23.06</v>
      </c>
      <c r="W54" s="196">
        <v>24.06</v>
      </c>
      <c r="X54" s="141">
        <v>25.06</v>
      </c>
      <c r="Y54" s="142">
        <v>26.06</v>
      </c>
      <c r="Z54" s="142">
        <v>27.06</v>
      </c>
      <c r="AA54" s="142">
        <v>29.06</v>
      </c>
      <c r="AB54" s="142">
        <v>30.06</v>
      </c>
      <c r="AC54" s="144" t="s">
        <v>1</v>
      </c>
      <c r="AD54" s="145" t="s">
        <v>2</v>
      </c>
      <c r="AE54" s="146" t="s">
        <v>3</v>
      </c>
      <c r="AF54" s="147" t="s">
        <v>4</v>
      </c>
      <c r="AG54" s="147" t="s">
        <v>5</v>
      </c>
      <c r="AH54" s="145" t="s">
        <v>6</v>
      </c>
      <c r="AI54" s="145" t="s">
        <v>7</v>
      </c>
      <c r="AJ54" s="148" t="s">
        <v>8</v>
      </c>
      <c r="AK54" s="145" t="s">
        <v>9</v>
      </c>
      <c r="AL54" s="145" t="s">
        <v>10</v>
      </c>
      <c r="AM54" s="149" t="s">
        <v>11</v>
      </c>
      <c r="AN54" s="145" t="s">
        <v>12</v>
      </c>
      <c r="AO54" s="150" t="s">
        <v>13</v>
      </c>
    </row>
    <row r="55" spans="1:41" ht="44.25" customHeight="1" thickTop="1" thickBot="1" x14ac:dyDescent="0.65">
      <c r="A55" s="151">
        <v>5</v>
      </c>
      <c r="B55" s="152" t="s">
        <v>31</v>
      </c>
      <c r="C55" s="156">
        <v>0</v>
      </c>
      <c r="D55" s="153">
        <v>163.75</v>
      </c>
      <c r="E55" s="154">
        <v>197</v>
      </c>
      <c r="F55" s="153">
        <f>177.75+8/6</f>
        <v>179.08333333333334</v>
      </c>
      <c r="G55" s="153">
        <f>136.75+38/6</f>
        <v>143.08333333333334</v>
      </c>
      <c r="H55" s="153">
        <v>201.75</v>
      </c>
      <c r="I55" s="153">
        <v>188.5</v>
      </c>
      <c r="J55" s="153">
        <v>172.75</v>
      </c>
      <c r="K55" s="153">
        <f>131+17/6</f>
        <v>133.83333333333334</v>
      </c>
      <c r="L55" s="153">
        <f>168.5+38/6</f>
        <v>174.83333333333334</v>
      </c>
      <c r="M55" s="153">
        <v>205</v>
      </c>
      <c r="N55" s="153">
        <f>196.5+10/6</f>
        <v>198.16666666666666</v>
      </c>
      <c r="O55" s="153">
        <v>195.25</v>
      </c>
      <c r="P55" s="153">
        <v>171</v>
      </c>
      <c r="Q55" s="153">
        <v>186</v>
      </c>
      <c r="R55" s="153">
        <v>200.5</v>
      </c>
      <c r="S55" s="153">
        <v>197</v>
      </c>
      <c r="T55" s="153">
        <v>200.5</v>
      </c>
      <c r="U55" s="153">
        <f>205.25+5/6</f>
        <v>206.08333333333334</v>
      </c>
      <c r="V55" s="195">
        <v>0</v>
      </c>
      <c r="W55" s="195">
        <v>0</v>
      </c>
      <c r="X55" s="153">
        <v>162.5</v>
      </c>
      <c r="Y55" s="153">
        <f>190+42/6</f>
        <v>197</v>
      </c>
      <c r="Z55" s="153">
        <v>147.5</v>
      </c>
      <c r="AA55" s="153">
        <v>144.75</v>
      </c>
      <c r="AB55" s="153">
        <f>149.5+14/6</f>
        <v>151.83333333333334</v>
      </c>
      <c r="AC55" s="157">
        <f>SUM(C55:AB55)</f>
        <v>4117.666666666667</v>
      </c>
      <c r="AD55" s="158">
        <v>23</v>
      </c>
      <c r="AE55" s="158">
        <f>AD55*$AE$11</f>
        <v>3910</v>
      </c>
      <c r="AF55" s="158">
        <f>AC55-AE55</f>
        <v>207.66666666666697</v>
      </c>
      <c r="AG55" s="158">
        <f>$AG$11</f>
        <v>26</v>
      </c>
      <c r="AH55" s="158">
        <f>AF55/175</f>
        <v>1.1866666666666683</v>
      </c>
      <c r="AI55" s="158">
        <f>AK55/AG55</f>
        <v>288.46153846153845</v>
      </c>
      <c r="AJ55" s="159">
        <f>AI55*AH55</f>
        <v>342.30769230769278</v>
      </c>
      <c r="AK55" s="158">
        <v>7500</v>
      </c>
      <c r="AL55" s="160">
        <f>AK55+AJ55</f>
        <v>7842.3076923076924</v>
      </c>
      <c r="AM55" s="152" t="s">
        <v>31</v>
      </c>
      <c r="AN55" s="161"/>
      <c r="AO55" s="161"/>
    </row>
    <row r="56" spans="1:41" ht="27.75" customHeight="1" x14ac:dyDescent="0.4">
      <c r="A56" s="163"/>
      <c r="B56" s="136" t="s">
        <v>16</v>
      </c>
      <c r="C56" s="166">
        <v>0</v>
      </c>
      <c r="D56" s="164">
        <v>15</v>
      </c>
      <c r="E56" s="164">
        <v>14.8</v>
      </c>
      <c r="F56" s="164">
        <v>13.2</v>
      </c>
      <c r="G56" s="164">
        <v>15</v>
      </c>
      <c r="H56" s="164">
        <v>15</v>
      </c>
      <c r="I56" s="164">
        <v>14</v>
      </c>
      <c r="J56" s="164">
        <v>13.4</v>
      </c>
      <c r="K56" s="164">
        <v>14</v>
      </c>
      <c r="L56" s="164">
        <v>13</v>
      </c>
      <c r="M56" s="164">
        <v>15</v>
      </c>
      <c r="N56" s="164">
        <v>15</v>
      </c>
      <c r="O56" s="164">
        <v>14</v>
      </c>
      <c r="P56" s="164">
        <v>14.25</v>
      </c>
      <c r="Q56" s="164">
        <v>14.17</v>
      </c>
      <c r="R56" s="164">
        <v>15</v>
      </c>
      <c r="S56" s="164">
        <v>13</v>
      </c>
      <c r="T56" s="164">
        <v>16</v>
      </c>
      <c r="U56" s="164">
        <v>15</v>
      </c>
      <c r="V56" s="197">
        <v>15</v>
      </c>
      <c r="W56" s="197">
        <v>14</v>
      </c>
      <c r="X56" s="164">
        <v>15</v>
      </c>
      <c r="Y56" s="164">
        <v>15</v>
      </c>
      <c r="Z56" s="164">
        <v>14</v>
      </c>
      <c r="AA56" s="164">
        <v>15</v>
      </c>
      <c r="AB56" s="164">
        <v>14</v>
      </c>
    </row>
    <row r="57" spans="1:41" ht="27.75" customHeight="1" x14ac:dyDescent="0.4">
      <c r="A57" s="163"/>
      <c r="B57" s="136" t="s">
        <v>17</v>
      </c>
      <c r="C57" s="166">
        <f t="shared" ref="C57:AB57" si="21">IF(C56&gt;0,C55/C56,0)</f>
        <v>0</v>
      </c>
      <c r="D57" s="164">
        <f t="shared" si="21"/>
        <v>10.916666666666666</v>
      </c>
      <c r="E57" s="164">
        <f t="shared" si="21"/>
        <v>13.310810810810811</v>
      </c>
      <c r="F57" s="164">
        <f t="shared" si="21"/>
        <v>13.566919191919194</v>
      </c>
      <c r="G57" s="164">
        <f t="shared" si="21"/>
        <v>9.5388888888888896</v>
      </c>
      <c r="H57" s="164">
        <f t="shared" si="21"/>
        <v>13.45</v>
      </c>
      <c r="I57" s="164">
        <f t="shared" si="21"/>
        <v>13.464285714285714</v>
      </c>
      <c r="J57" s="164">
        <f t="shared" si="21"/>
        <v>12.891791044776118</v>
      </c>
      <c r="K57" s="164">
        <f t="shared" si="21"/>
        <v>9.5595238095238102</v>
      </c>
      <c r="L57" s="164">
        <f t="shared" si="21"/>
        <v>13.448717948717949</v>
      </c>
      <c r="M57" s="164">
        <f t="shared" si="21"/>
        <v>13.666666666666666</v>
      </c>
      <c r="N57" s="164">
        <f t="shared" si="21"/>
        <v>13.21111111111111</v>
      </c>
      <c r="O57" s="164">
        <f t="shared" si="21"/>
        <v>13.946428571428571</v>
      </c>
      <c r="P57" s="164">
        <f t="shared" si="21"/>
        <v>12</v>
      </c>
      <c r="Q57" s="164">
        <f t="shared" si="21"/>
        <v>13.126323218066338</v>
      </c>
      <c r="R57" s="164">
        <f t="shared" si="21"/>
        <v>13.366666666666667</v>
      </c>
      <c r="S57" s="164">
        <f t="shared" si="21"/>
        <v>15.153846153846153</v>
      </c>
      <c r="T57" s="164">
        <f t="shared" si="21"/>
        <v>12.53125</v>
      </c>
      <c r="U57" s="164">
        <f t="shared" si="21"/>
        <v>13.738888888888889</v>
      </c>
      <c r="V57" s="197">
        <f t="shared" si="21"/>
        <v>0</v>
      </c>
      <c r="W57" s="197">
        <f t="shared" si="21"/>
        <v>0</v>
      </c>
      <c r="X57" s="164">
        <f t="shared" si="21"/>
        <v>10.833333333333334</v>
      </c>
      <c r="Y57" s="164">
        <f t="shared" si="21"/>
        <v>13.133333333333333</v>
      </c>
      <c r="Z57" s="164">
        <f t="shared" si="21"/>
        <v>10.535714285714286</v>
      </c>
      <c r="AA57" s="164">
        <f t="shared" si="21"/>
        <v>9.65</v>
      </c>
      <c r="AB57" s="164">
        <f t="shared" si="21"/>
        <v>10.845238095238097</v>
      </c>
      <c r="AC57" s="167">
        <f>SUM(C57:AB57)</f>
        <v>285.88640439988262</v>
      </c>
      <c r="AE57" s="136" t="s">
        <v>18</v>
      </c>
      <c r="AG57" s="136">
        <f>AI55/11.5</f>
        <v>25.083612040133779</v>
      </c>
    </row>
    <row r="58" spans="1:41" ht="27.75" customHeight="1" x14ac:dyDescent="0.4">
      <c r="A58" s="163"/>
      <c r="B58" s="136" t="s">
        <v>19</v>
      </c>
      <c r="C58" s="166">
        <f t="shared" ref="C58:AB58" si="22">IF(C56&gt;0,11.5,0)</f>
        <v>0</v>
      </c>
      <c r="D58" s="164">
        <f t="shared" si="22"/>
        <v>11.5</v>
      </c>
      <c r="E58" s="164">
        <f t="shared" si="22"/>
        <v>11.5</v>
      </c>
      <c r="F58" s="164">
        <f t="shared" si="22"/>
        <v>11.5</v>
      </c>
      <c r="G58" s="164">
        <f t="shared" si="22"/>
        <v>11.5</v>
      </c>
      <c r="H58" s="164">
        <f t="shared" si="22"/>
        <v>11.5</v>
      </c>
      <c r="I58" s="164">
        <f t="shared" si="22"/>
        <v>11.5</v>
      </c>
      <c r="J58" s="164">
        <f t="shared" si="22"/>
        <v>11.5</v>
      </c>
      <c r="K58" s="164">
        <f t="shared" si="22"/>
        <v>11.5</v>
      </c>
      <c r="L58" s="164">
        <f t="shared" si="22"/>
        <v>11.5</v>
      </c>
      <c r="M58" s="164">
        <f t="shared" si="22"/>
        <v>11.5</v>
      </c>
      <c r="N58" s="164">
        <f t="shared" si="22"/>
        <v>11.5</v>
      </c>
      <c r="O58" s="164">
        <f t="shared" si="22"/>
        <v>11.5</v>
      </c>
      <c r="P58" s="164">
        <f t="shared" si="22"/>
        <v>11.5</v>
      </c>
      <c r="Q58" s="164">
        <f t="shared" si="22"/>
        <v>11.5</v>
      </c>
      <c r="R58" s="164">
        <f t="shared" si="22"/>
        <v>11.5</v>
      </c>
      <c r="S58" s="164">
        <f t="shared" si="22"/>
        <v>11.5</v>
      </c>
      <c r="T58" s="164">
        <f t="shared" si="22"/>
        <v>11.5</v>
      </c>
      <c r="U58" s="164">
        <f t="shared" si="22"/>
        <v>11.5</v>
      </c>
      <c r="V58" s="197"/>
      <c r="W58" s="197"/>
      <c r="X58" s="164">
        <f t="shared" si="22"/>
        <v>11.5</v>
      </c>
      <c r="Y58" s="164">
        <f t="shared" si="22"/>
        <v>11.5</v>
      </c>
      <c r="Z58" s="164">
        <f t="shared" si="22"/>
        <v>11.5</v>
      </c>
      <c r="AA58" s="164">
        <f t="shared" si="22"/>
        <v>11.5</v>
      </c>
      <c r="AB58" s="164">
        <f t="shared" si="22"/>
        <v>11.5</v>
      </c>
      <c r="AC58" s="167">
        <f>SUM(C58:AB58)</f>
        <v>264.5</v>
      </c>
      <c r="AE58" s="136" t="s">
        <v>20</v>
      </c>
      <c r="AG58" s="136">
        <f>AC59*AG57</f>
        <v>536.44827090006504</v>
      </c>
    </row>
    <row r="59" spans="1:41" ht="27.75" customHeight="1" x14ac:dyDescent="0.4">
      <c r="A59" s="168"/>
      <c r="B59" s="169" t="s">
        <v>21</v>
      </c>
      <c r="C59" s="172">
        <f t="shared" ref="C59:AB59" si="23">IF(C56&gt;0,C57-C58,0)</f>
        <v>0</v>
      </c>
      <c r="D59" s="170">
        <f t="shared" si="23"/>
        <v>-0.58333333333333393</v>
      </c>
      <c r="E59" s="170">
        <f t="shared" si="23"/>
        <v>1.8108108108108105</v>
      </c>
      <c r="F59" s="170">
        <f t="shared" si="23"/>
        <v>2.0669191919191938</v>
      </c>
      <c r="G59" s="170">
        <f t="shared" si="23"/>
        <v>-1.9611111111111104</v>
      </c>
      <c r="H59" s="170">
        <f t="shared" si="23"/>
        <v>1.9499999999999993</v>
      </c>
      <c r="I59" s="170">
        <f t="shared" si="23"/>
        <v>1.9642857142857135</v>
      </c>
      <c r="J59" s="170">
        <f t="shared" si="23"/>
        <v>1.3917910447761184</v>
      </c>
      <c r="K59" s="170">
        <f t="shared" si="23"/>
        <v>-1.9404761904761898</v>
      </c>
      <c r="L59" s="170">
        <f t="shared" si="23"/>
        <v>1.9487179487179489</v>
      </c>
      <c r="M59" s="170">
        <f t="shared" si="23"/>
        <v>2.1666666666666661</v>
      </c>
      <c r="N59" s="170">
        <f t="shared" si="23"/>
        <v>1.7111111111111104</v>
      </c>
      <c r="O59" s="170">
        <f t="shared" si="23"/>
        <v>2.4464285714285712</v>
      </c>
      <c r="P59" s="170">
        <f t="shared" si="23"/>
        <v>0.5</v>
      </c>
      <c r="Q59" s="170">
        <f t="shared" si="23"/>
        <v>1.6263232180663376</v>
      </c>
      <c r="R59" s="170">
        <f t="shared" si="23"/>
        <v>1.8666666666666671</v>
      </c>
      <c r="S59" s="170">
        <f t="shared" si="23"/>
        <v>3.6538461538461533</v>
      </c>
      <c r="T59" s="170">
        <f t="shared" si="23"/>
        <v>1.03125</v>
      </c>
      <c r="U59" s="170">
        <f t="shared" si="23"/>
        <v>2.2388888888888889</v>
      </c>
      <c r="V59" s="198">
        <f t="shared" si="23"/>
        <v>0</v>
      </c>
      <c r="W59" s="198">
        <f t="shared" si="23"/>
        <v>0</v>
      </c>
      <c r="X59" s="170">
        <f t="shared" si="23"/>
        <v>-0.66666666666666607</v>
      </c>
      <c r="Y59" s="170">
        <f t="shared" si="23"/>
        <v>1.6333333333333329</v>
      </c>
      <c r="Z59" s="170">
        <f t="shared" si="23"/>
        <v>-0.96428571428571352</v>
      </c>
      <c r="AA59" s="170">
        <f t="shared" si="23"/>
        <v>-1.8499999999999996</v>
      </c>
      <c r="AB59" s="170">
        <f t="shared" si="23"/>
        <v>-0.65476190476190332</v>
      </c>
      <c r="AC59" s="167">
        <f>SUM(C59:AB59)</f>
        <v>21.386404399882593</v>
      </c>
      <c r="AH59">
        <f>AF59/175</f>
        <v>0</v>
      </c>
    </row>
    <row r="60" spans="1:41" ht="27.75" customHeight="1" thickTop="1" x14ac:dyDescent="0.4"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</row>
    <row r="61" spans="1:41" ht="15" thickBot="1" x14ac:dyDescent="0.35"/>
    <row r="62" spans="1:41" ht="27.75" customHeight="1" thickTop="1" thickBot="1" x14ac:dyDescent="0.45">
      <c r="B62" s="136"/>
      <c r="C62" s="137">
        <v>1.06</v>
      </c>
      <c r="D62" s="138">
        <v>2.06</v>
      </c>
      <c r="E62" s="138">
        <v>3.06</v>
      </c>
      <c r="F62" s="138">
        <v>4.0599999999999996</v>
      </c>
      <c r="G62" s="138">
        <v>5.0599999999999996</v>
      </c>
      <c r="H62" s="138">
        <v>6.06</v>
      </c>
      <c r="I62" s="138">
        <v>8.06</v>
      </c>
      <c r="J62" s="138">
        <v>9.06</v>
      </c>
      <c r="K62" s="138">
        <v>10.06</v>
      </c>
      <c r="L62" s="138">
        <v>11.06</v>
      </c>
      <c r="M62" s="138">
        <v>12.06</v>
      </c>
      <c r="N62" s="138">
        <v>13.06</v>
      </c>
      <c r="O62" s="138">
        <v>15.06</v>
      </c>
      <c r="P62" s="138">
        <v>16.059999999999999</v>
      </c>
      <c r="Q62" s="138">
        <v>17.059999999999999</v>
      </c>
      <c r="R62" s="138">
        <v>18.059999999999999</v>
      </c>
      <c r="S62" s="138">
        <v>19.059999999999999</v>
      </c>
      <c r="T62" s="138">
        <v>20.059999999999999</v>
      </c>
      <c r="U62" s="194">
        <v>22.06</v>
      </c>
      <c r="V62" s="138">
        <v>23.06</v>
      </c>
      <c r="W62" s="138">
        <v>24.06</v>
      </c>
      <c r="X62" s="141">
        <v>25.06</v>
      </c>
      <c r="Y62" s="142">
        <v>26.06</v>
      </c>
      <c r="Z62" s="142">
        <v>27.06</v>
      </c>
      <c r="AA62" s="142">
        <v>29.06</v>
      </c>
      <c r="AB62" s="142">
        <v>30.06</v>
      </c>
      <c r="AC62" s="144" t="s">
        <v>1</v>
      </c>
      <c r="AD62" s="145" t="s">
        <v>2</v>
      </c>
      <c r="AE62" s="146" t="s">
        <v>3</v>
      </c>
      <c r="AF62" s="147" t="s">
        <v>4</v>
      </c>
      <c r="AG62" s="147" t="s">
        <v>5</v>
      </c>
      <c r="AH62" s="145" t="s">
        <v>6</v>
      </c>
      <c r="AI62" s="145" t="s">
        <v>7</v>
      </c>
      <c r="AJ62" s="148" t="s">
        <v>8</v>
      </c>
      <c r="AK62" s="145" t="s">
        <v>9</v>
      </c>
      <c r="AL62" s="145" t="s">
        <v>10</v>
      </c>
      <c r="AM62" s="149" t="s">
        <v>11</v>
      </c>
      <c r="AN62" s="145" t="s">
        <v>12</v>
      </c>
      <c r="AO62" s="150" t="s">
        <v>13</v>
      </c>
    </row>
    <row r="63" spans="1:41" ht="48" customHeight="1" thickTop="1" thickBot="1" x14ac:dyDescent="0.65">
      <c r="A63" s="151"/>
      <c r="B63" s="152" t="s">
        <v>141</v>
      </c>
      <c r="C63" s="153">
        <v>200</v>
      </c>
      <c r="D63" s="153">
        <v>163.75</v>
      </c>
      <c r="E63" s="154">
        <v>197</v>
      </c>
      <c r="F63" s="153">
        <f>177.75+8/6</f>
        <v>179.08333333333334</v>
      </c>
      <c r="G63" s="153">
        <f>136.75+38/6</f>
        <v>143.08333333333334</v>
      </c>
      <c r="H63" s="153">
        <v>201.75</v>
      </c>
      <c r="I63" s="153">
        <v>188.5</v>
      </c>
      <c r="J63" s="153">
        <v>172.75</v>
      </c>
      <c r="K63" s="153">
        <f>131+17/6</f>
        <v>133.83333333333334</v>
      </c>
      <c r="L63" s="153">
        <f>168.5+38/6</f>
        <v>174.83333333333334</v>
      </c>
      <c r="M63" s="153">
        <v>205</v>
      </c>
      <c r="N63" s="153">
        <f>196.5+10/6</f>
        <v>198.16666666666666</v>
      </c>
      <c r="O63" s="153">
        <v>195.25</v>
      </c>
      <c r="P63" s="153">
        <v>171</v>
      </c>
      <c r="Q63" s="153">
        <v>186</v>
      </c>
      <c r="R63" s="153">
        <v>200.5</v>
      </c>
      <c r="S63" s="153">
        <v>197</v>
      </c>
      <c r="T63" s="153">
        <v>200.5</v>
      </c>
      <c r="U63" s="153">
        <f>205.25+5/6</f>
        <v>206.08333333333334</v>
      </c>
      <c r="V63" s="153">
        <v>197.5</v>
      </c>
      <c r="W63" s="153">
        <f>171.5+59/6</f>
        <v>181.33333333333334</v>
      </c>
      <c r="X63" s="153">
        <v>162.5</v>
      </c>
      <c r="Y63" s="153">
        <f>190+42/6</f>
        <v>197</v>
      </c>
      <c r="Z63" s="153">
        <v>147.5</v>
      </c>
      <c r="AA63" s="153">
        <v>144.75</v>
      </c>
      <c r="AB63" s="153">
        <f>149.5+14/6</f>
        <v>151.83333333333334</v>
      </c>
      <c r="AC63" s="157">
        <f>SUM(C63:AB63)</f>
        <v>4696.5</v>
      </c>
      <c r="AD63" s="158">
        <f>COUNTIF(C64:AB64,"&gt;0")</f>
        <v>26</v>
      </c>
      <c r="AE63" s="158">
        <f>AD63*$AE$11</f>
        <v>4420</v>
      </c>
      <c r="AF63" s="158">
        <f>AC63-AE63</f>
        <v>276.5</v>
      </c>
      <c r="AG63" s="158">
        <f>$AG$11</f>
        <v>26</v>
      </c>
      <c r="AH63" s="158">
        <f>AF63/175</f>
        <v>1.58</v>
      </c>
      <c r="AI63" s="158">
        <f>AK63/AG63</f>
        <v>180.76923076923077</v>
      </c>
      <c r="AJ63" s="159">
        <f>AI63*AH63</f>
        <v>285.61538461538464</v>
      </c>
      <c r="AK63" s="158">
        <v>4700</v>
      </c>
      <c r="AL63" s="160">
        <f>AK63+AJ63</f>
        <v>4985.6153846153848</v>
      </c>
      <c r="AM63" s="152" t="s">
        <v>141</v>
      </c>
      <c r="AN63" s="161"/>
      <c r="AO63" s="161"/>
    </row>
    <row r="64" spans="1:41" ht="27.75" customHeight="1" thickTop="1" x14ac:dyDescent="0.4">
      <c r="A64" s="163"/>
      <c r="B64" s="136" t="s">
        <v>16</v>
      </c>
      <c r="C64" s="164">
        <v>14.8</v>
      </c>
      <c r="D64" s="164">
        <v>15</v>
      </c>
      <c r="E64" s="164">
        <v>14.8</v>
      </c>
      <c r="F64" s="164">
        <v>13.2</v>
      </c>
      <c r="G64" s="164">
        <v>15</v>
      </c>
      <c r="H64" s="164">
        <v>15</v>
      </c>
      <c r="I64" s="164">
        <v>14</v>
      </c>
      <c r="J64" s="164">
        <v>13.4</v>
      </c>
      <c r="K64" s="164">
        <v>14</v>
      </c>
      <c r="L64" s="164">
        <v>13</v>
      </c>
      <c r="M64" s="164">
        <v>15</v>
      </c>
      <c r="N64" s="164">
        <v>15</v>
      </c>
      <c r="O64" s="164">
        <v>14</v>
      </c>
      <c r="P64" s="164">
        <v>14.25</v>
      </c>
      <c r="Q64" s="164">
        <v>14.17</v>
      </c>
      <c r="R64" s="164">
        <v>15</v>
      </c>
      <c r="S64" s="164">
        <v>13</v>
      </c>
      <c r="T64" s="164">
        <v>16</v>
      </c>
      <c r="U64" s="164">
        <v>15</v>
      </c>
      <c r="V64" s="164">
        <v>15</v>
      </c>
      <c r="W64" s="164">
        <v>14</v>
      </c>
      <c r="X64" s="164">
        <v>15</v>
      </c>
      <c r="Y64" s="164">
        <v>15</v>
      </c>
      <c r="Z64" s="164">
        <v>14</v>
      </c>
      <c r="AA64" s="164">
        <v>15</v>
      </c>
      <c r="AB64" s="164">
        <v>14</v>
      </c>
    </row>
    <row r="65" spans="1:41" ht="27.75" customHeight="1" x14ac:dyDescent="0.4">
      <c r="A65" s="163"/>
      <c r="B65" s="136" t="s">
        <v>17</v>
      </c>
      <c r="C65" s="164">
        <f t="shared" ref="C65:AB65" si="24">IF(C64&gt;0,C63/C64,0)</f>
        <v>13.513513513513512</v>
      </c>
      <c r="D65" s="164">
        <f t="shared" si="24"/>
        <v>10.916666666666666</v>
      </c>
      <c r="E65" s="164">
        <f t="shared" si="24"/>
        <v>13.310810810810811</v>
      </c>
      <c r="F65" s="164">
        <f t="shared" si="24"/>
        <v>13.566919191919194</v>
      </c>
      <c r="G65" s="164">
        <f t="shared" si="24"/>
        <v>9.5388888888888896</v>
      </c>
      <c r="H65" s="164">
        <f t="shared" si="24"/>
        <v>13.45</v>
      </c>
      <c r="I65" s="164">
        <f t="shared" si="24"/>
        <v>13.464285714285714</v>
      </c>
      <c r="J65" s="164">
        <f t="shared" si="24"/>
        <v>12.891791044776118</v>
      </c>
      <c r="K65" s="164">
        <f t="shared" si="24"/>
        <v>9.5595238095238102</v>
      </c>
      <c r="L65" s="164">
        <f t="shared" si="24"/>
        <v>13.448717948717949</v>
      </c>
      <c r="M65" s="164">
        <f t="shared" si="24"/>
        <v>13.666666666666666</v>
      </c>
      <c r="N65" s="164">
        <f t="shared" si="24"/>
        <v>13.21111111111111</v>
      </c>
      <c r="O65" s="164">
        <f t="shared" si="24"/>
        <v>13.946428571428571</v>
      </c>
      <c r="P65" s="164">
        <f t="shared" si="24"/>
        <v>12</v>
      </c>
      <c r="Q65" s="164">
        <f t="shared" si="24"/>
        <v>13.126323218066338</v>
      </c>
      <c r="R65" s="164">
        <f t="shared" si="24"/>
        <v>13.366666666666667</v>
      </c>
      <c r="S65" s="164">
        <f t="shared" si="24"/>
        <v>15.153846153846153</v>
      </c>
      <c r="T65" s="164">
        <f t="shared" si="24"/>
        <v>12.53125</v>
      </c>
      <c r="U65" s="164">
        <f t="shared" si="24"/>
        <v>13.738888888888889</v>
      </c>
      <c r="V65" s="164">
        <f t="shared" si="24"/>
        <v>13.166666666666666</v>
      </c>
      <c r="W65" s="164">
        <f t="shared" si="24"/>
        <v>12.952380952380953</v>
      </c>
      <c r="X65" s="164">
        <f t="shared" si="24"/>
        <v>10.833333333333334</v>
      </c>
      <c r="Y65" s="164">
        <f t="shared" si="24"/>
        <v>13.133333333333333</v>
      </c>
      <c r="Z65" s="164">
        <f t="shared" si="24"/>
        <v>10.535714285714286</v>
      </c>
      <c r="AA65" s="164">
        <f t="shared" si="24"/>
        <v>9.65</v>
      </c>
      <c r="AB65" s="164">
        <f t="shared" si="24"/>
        <v>10.845238095238097</v>
      </c>
      <c r="AC65" s="167">
        <f>SUM(C65:AB65)</f>
        <v>325.5189655324437</v>
      </c>
      <c r="AE65" s="136" t="s">
        <v>18</v>
      </c>
      <c r="AG65" s="136">
        <f>AI63/11.5</f>
        <v>15.719063545150503</v>
      </c>
    </row>
    <row r="66" spans="1:41" ht="27.75" customHeight="1" x14ac:dyDescent="0.4">
      <c r="A66" s="163"/>
      <c r="B66" s="136" t="s">
        <v>19</v>
      </c>
      <c r="C66" s="184">
        <f t="shared" ref="C66:AB66" si="25">IF(C64&gt;0,11.5,0)</f>
        <v>11.5</v>
      </c>
      <c r="D66" s="164">
        <f t="shared" si="25"/>
        <v>11.5</v>
      </c>
      <c r="E66" s="184">
        <f t="shared" si="25"/>
        <v>11.5</v>
      </c>
      <c r="F66" s="184">
        <f t="shared" si="25"/>
        <v>11.5</v>
      </c>
      <c r="G66" s="184">
        <f t="shared" si="25"/>
        <v>11.5</v>
      </c>
      <c r="H66" s="184">
        <f t="shared" si="25"/>
        <v>11.5</v>
      </c>
      <c r="I66" s="184">
        <f t="shared" si="25"/>
        <v>11.5</v>
      </c>
      <c r="J66" s="164">
        <f t="shared" si="25"/>
        <v>11.5</v>
      </c>
      <c r="K66" s="184">
        <f t="shared" si="25"/>
        <v>11.5</v>
      </c>
      <c r="L66" s="184">
        <f t="shared" si="25"/>
        <v>11.5</v>
      </c>
      <c r="M66" s="184">
        <f t="shared" si="25"/>
        <v>11.5</v>
      </c>
      <c r="N66" s="184">
        <f t="shared" si="25"/>
        <v>11.5</v>
      </c>
      <c r="O66" s="184">
        <f t="shared" si="25"/>
        <v>11.5</v>
      </c>
      <c r="P66" s="164">
        <f t="shared" si="25"/>
        <v>11.5</v>
      </c>
      <c r="Q66" s="164">
        <f t="shared" si="25"/>
        <v>11.5</v>
      </c>
      <c r="R66" s="184">
        <f t="shared" si="25"/>
        <v>11.5</v>
      </c>
      <c r="S66" s="184">
        <f t="shared" si="25"/>
        <v>11.5</v>
      </c>
      <c r="T66" s="184">
        <f t="shared" si="25"/>
        <v>11.5</v>
      </c>
      <c r="U66" s="164">
        <f t="shared" si="25"/>
        <v>11.5</v>
      </c>
      <c r="V66" s="184">
        <f t="shared" si="25"/>
        <v>11.5</v>
      </c>
      <c r="W66" s="184">
        <f t="shared" si="25"/>
        <v>11.5</v>
      </c>
      <c r="X66" s="184">
        <f t="shared" si="25"/>
        <v>11.5</v>
      </c>
      <c r="Y66" s="184">
        <f t="shared" si="25"/>
        <v>11.5</v>
      </c>
      <c r="Z66" s="184">
        <f t="shared" si="25"/>
        <v>11.5</v>
      </c>
      <c r="AA66" s="184">
        <f t="shared" si="25"/>
        <v>11.5</v>
      </c>
      <c r="AB66" s="184">
        <f t="shared" si="25"/>
        <v>11.5</v>
      </c>
      <c r="AC66" s="167">
        <f>SUM(C66:AB66)</f>
        <v>299</v>
      </c>
      <c r="AE66" s="136" t="s">
        <v>20</v>
      </c>
      <c r="AG66" s="136">
        <f>AC67*AG65</f>
        <v>416.85330435613872</v>
      </c>
    </row>
    <row r="67" spans="1:41" ht="27.75" customHeight="1" thickBot="1" x14ac:dyDescent="0.45">
      <c r="A67" s="168"/>
      <c r="B67" s="169" t="s">
        <v>21</v>
      </c>
      <c r="C67" s="170">
        <f t="shared" ref="C67:AB67" si="26">IF(C64&gt;0,C65-C66,0)</f>
        <v>2.0135135135135123</v>
      </c>
      <c r="D67" s="170">
        <f t="shared" si="26"/>
        <v>-0.58333333333333393</v>
      </c>
      <c r="E67" s="170">
        <f t="shared" si="26"/>
        <v>1.8108108108108105</v>
      </c>
      <c r="F67" s="170">
        <f t="shared" si="26"/>
        <v>2.0669191919191938</v>
      </c>
      <c r="G67" s="170">
        <f t="shared" si="26"/>
        <v>-1.9611111111111104</v>
      </c>
      <c r="H67" s="170">
        <f t="shared" si="26"/>
        <v>1.9499999999999993</v>
      </c>
      <c r="I67" s="170">
        <f t="shared" si="26"/>
        <v>1.9642857142857135</v>
      </c>
      <c r="J67" s="170">
        <f t="shared" si="26"/>
        <v>1.3917910447761184</v>
      </c>
      <c r="K67" s="170">
        <f t="shared" si="26"/>
        <v>-1.9404761904761898</v>
      </c>
      <c r="L67" s="170">
        <f t="shared" si="26"/>
        <v>1.9487179487179489</v>
      </c>
      <c r="M67" s="170">
        <f t="shared" si="26"/>
        <v>2.1666666666666661</v>
      </c>
      <c r="N67" s="170">
        <f t="shared" si="26"/>
        <v>1.7111111111111104</v>
      </c>
      <c r="O67" s="170">
        <f t="shared" si="26"/>
        <v>2.4464285714285712</v>
      </c>
      <c r="P67" s="170">
        <f t="shared" si="26"/>
        <v>0.5</v>
      </c>
      <c r="Q67" s="170">
        <f t="shared" si="26"/>
        <v>1.6263232180663376</v>
      </c>
      <c r="R67" s="170">
        <f t="shared" si="26"/>
        <v>1.8666666666666671</v>
      </c>
      <c r="S67" s="170">
        <f t="shared" si="26"/>
        <v>3.6538461538461533</v>
      </c>
      <c r="T67" s="170">
        <f t="shared" si="26"/>
        <v>1.03125</v>
      </c>
      <c r="U67" s="170">
        <f t="shared" si="26"/>
        <v>2.2388888888888889</v>
      </c>
      <c r="V67" s="170">
        <f t="shared" si="26"/>
        <v>1.6666666666666661</v>
      </c>
      <c r="W67" s="170">
        <f t="shared" si="26"/>
        <v>1.4523809523809526</v>
      </c>
      <c r="X67" s="170">
        <f t="shared" si="26"/>
        <v>-0.66666666666666607</v>
      </c>
      <c r="Y67" s="170">
        <f t="shared" si="26"/>
        <v>1.6333333333333329</v>
      </c>
      <c r="Z67" s="170">
        <f t="shared" si="26"/>
        <v>-0.96428571428571352</v>
      </c>
      <c r="AA67" s="170">
        <f t="shared" si="26"/>
        <v>-1.8499999999999996</v>
      </c>
      <c r="AB67" s="170">
        <f t="shared" si="26"/>
        <v>-0.65476190476190332</v>
      </c>
      <c r="AC67" s="167">
        <f>SUM(C67:AB67)</f>
        <v>26.518965532443715</v>
      </c>
      <c r="AH67">
        <f>AF67/175</f>
        <v>0</v>
      </c>
    </row>
    <row r="68" spans="1:41" ht="27.75" customHeight="1" thickTop="1" thickBot="1" x14ac:dyDescent="0.45">
      <c r="A68" s="136"/>
      <c r="B68" s="136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</row>
    <row r="69" spans="1:41" ht="27.75" customHeight="1" thickTop="1" thickBot="1" x14ac:dyDescent="0.45">
      <c r="B69" s="136" t="s">
        <v>32</v>
      </c>
      <c r="C69" s="137">
        <v>1.06</v>
      </c>
      <c r="D69" s="140">
        <v>2.06</v>
      </c>
      <c r="E69" s="138">
        <v>3.06</v>
      </c>
      <c r="F69" s="138">
        <v>4.0599999999999996</v>
      </c>
      <c r="G69" s="138">
        <v>5.0599999999999996</v>
      </c>
      <c r="H69" s="138">
        <v>6.06</v>
      </c>
      <c r="I69" s="138">
        <v>8.06</v>
      </c>
      <c r="J69" s="138">
        <v>9.06</v>
      </c>
      <c r="K69" s="138">
        <v>10.06</v>
      </c>
      <c r="L69" s="138">
        <v>11.06</v>
      </c>
      <c r="M69" s="138">
        <v>12.06</v>
      </c>
      <c r="N69" s="138">
        <v>13.06</v>
      </c>
      <c r="O69" s="138">
        <v>15.06</v>
      </c>
      <c r="P69" s="138">
        <v>16.059999999999999</v>
      </c>
      <c r="Q69" s="138">
        <v>17.059999999999999</v>
      </c>
      <c r="R69" s="138">
        <v>18.059999999999999</v>
      </c>
      <c r="S69" s="140">
        <v>19.059999999999999</v>
      </c>
      <c r="T69" s="138">
        <v>20.059999999999999</v>
      </c>
      <c r="U69" s="140">
        <v>22.06</v>
      </c>
      <c r="V69" s="138">
        <v>23.06</v>
      </c>
      <c r="W69" s="138">
        <v>24.06</v>
      </c>
      <c r="X69" s="141">
        <v>25.06</v>
      </c>
      <c r="Y69" s="142">
        <v>26.06</v>
      </c>
      <c r="Z69" s="142">
        <v>27.06</v>
      </c>
      <c r="AA69" s="142">
        <v>29.06</v>
      </c>
      <c r="AB69" s="143">
        <v>30.06</v>
      </c>
      <c r="AC69" s="144" t="s">
        <v>1</v>
      </c>
      <c r="AD69" s="145" t="s">
        <v>2</v>
      </c>
      <c r="AE69" s="146" t="s">
        <v>3</v>
      </c>
      <c r="AF69" s="147" t="s">
        <v>4</v>
      </c>
      <c r="AG69" s="147" t="s">
        <v>5</v>
      </c>
      <c r="AH69" s="145" t="s">
        <v>6</v>
      </c>
      <c r="AI69" s="145" t="s">
        <v>7</v>
      </c>
      <c r="AJ69" s="148" t="s">
        <v>8</v>
      </c>
      <c r="AK69" s="145" t="s">
        <v>9</v>
      </c>
      <c r="AL69" s="145" t="s">
        <v>10</v>
      </c>
      <c r="AM69" s="149" t="s">
        <v>11</v>
      </c>
      <c r="AN69" s="145" t="s">
        <v>12</v>
      </c>
      <c r="AO69" s="150" t="s">
        <v>13</v>
      </c>
    </row>
    <row r="70" spans="1:41" ht="45.75" customHeight="1" x14ac:dyDescent="0.6">
      <c r="A70" s="151">
        <v>6</v>
      </c>
      <c r="B70" s="152" t="s">
        <v>33</v>
      </c>
      <c r="C70" s="153">
        <v>200</v>
      </c>
      <c r="D70" s="156">
        <v>0</v>
      </c>
      <c r="E70" s="154">
        <v>197</v>
      </c>
      <c r="F70" s="153">
        <f>177.75+8/6</f>
        <v>179.08333333333334</v>
      </c>
      <c r="G70" s="153">
        <f>136.75+38/6</f>
        <v>143.08333333333334</v>
      </c>
      <c r="H70" s="153">
        <v>201.75</v>
      </c>
      <c r="I70" s="153">
        <v>188.5</v>
      </c>
      <c r="J70" s="153">
        <v>172.75</v>
      </c>
      <c r="K70" s="153">
        <f>131+17/6</f>
        <v>133.83333333333334</v>
      </c>
      <c r="L70" s="153">
        <f>168.5+38/6</f>
        <v>174.83333333333334</v>
      </c>
      <c r="M70" s="153">
        <v>205</v>
      </c>
      <c r="N70" s="153">
        <f>196.5+10/6</f>
        <v>198.16666666666666</v>
      </c>
      <c r="O70" s="153">
        <v>195.25</v>
      </c>
      <c r="P70" s="153">
        <v>171</v>
      </c>
      <c r="Q70" s="153">
        <v>186</v>
      </c>
      <c r="R70" s="153">
        <v>200.5</v>
      </c>
      <c r="S70" s="156">
        <v>0</v>
      </c>
      <c r="T70" s="153">
        <v>200.5</v>
      </c>
      <c r="U70" s="156">
        <v>0</v>
      </c>
      <c r="V70" s="153">
        <v>197.5</v>
      </c>
      <c r="W70" s="153">
        <f>171.5+59/6</f>
        <v>181.33333333333334</v>
      </c>
      <c r="X70" s="153">
        <v>162.5</v>
      </c>
      <c r="Y70" s="153">
        <f>190+42/6</f>
        <v>197</v>
      </c>
      <c r="Z70" s="153">
        <v>147.5</v>
      </c>
      <c r="AA70" s="153">
        <v>144.75</v>
      </c>
      <c r="AB70" s="156">
        <v>0</v>
      </c>
      <c r="AC70" s="157">
        <f>SUM(C70:AB70)</f>
        <v>3977.8333333333335</v>
      </c>
      <c r="AD70" s="158">
        <f>COUNTIF(C71:AB71,"&gt;0")</f>
        <v>22</v>
      </c>
      <c r="AE70" s="158">
        <f>AD70*$AE$11</f>
        <v>3740</v>
      </c>
      <c r="AF70" s="158">
        <f>AC70-AE70</f>
        <v>237.83333333333348</v>
      </c>
      <c r="AG70" s="158">
        <f>$AG$11</f>
        <v>26</v>
      </c>
      <c r="AH70" s="158">
        <f>AF70/175</f>
        <v>1.3590476190476199</v>
      </c>
      <c r="AI70" s="158">
        <f>AK70/AG70</f>
        <v>326.92307692307691</v>
      </c>
      <c r="AJ70" s="159">
        <f>AI70*AH70</f>
        <v>444.3040293040296</v>
      </c>
      <c r="AK70" s="158">
        <v>8500</v>
      </c>
      <c r="AL70" s="160">
        <f>AK70+AJ70</f>
        <v>8944.3040293040303</v>
      </c>
      <c r="AM70" s="152" t="s">
        <v>33</v>
      </c>
      <c r="AN70" s="178"/>
      <c r="AO70" s="178"/>
    </row>
    <row r="71" spans="1:41" ht="27.75" customHeight="1" x14ac:dyDescent="0.4">
      <c r="A71" s="163"/>
      <c r="B71" s="136" t="s">
        <v>16</v>
      </c>
      <c r="C71" s="164">
        <v>14.8</v>
      </c>
      <c r="D71" s="166">
        <v>0</v>
      </c>
      <c r="E71" s="164">
        <v>14.8</v>
      </c>
      <c r="F71" s="164">
        <v>13.2</v>
      </c>
      <c r="G71" s="164">
        <v>15</v>
      </c>
      <c r="H71" s="164">
        <v>15</v>
      </c>
      <c r="I71" s="164">
        <v>14</v>
      </c>
      <c r="J71" s="164">
        <v>13.4</v>
      </c>
      <c r="K71" s="164">
        <v>14</v>
      </c>
      <c r="L71" s="164">
        <v>13</v>
      </c>
      <c r="M71" s="164">
        <v>15</v>
      </c>
      <c r="N71" s="164">
        <v>15</v>
      </c>
      <c r="O71" s="164">
        <v>14</v>
      </c>
      <c r="P71" s="164">
        <v>14.25</v>
      </c>
      <c r="Q71" s="164">
        <v>14.17</v>
      </c>
      <c r="R71" s="164">
        <v>15</v>
      </c>
      <c r="S71" s="166">
        <v>0</v>
      </c>
      <c r="T71" s="164">
        <v>16</v>
      </c>
      <c r="U71" s="166">
        <v>0</v>
      </c>
      <c r="V71" s="164">
        <v>15</v>
      </c>
      <c r="W71" s="164">
        <v>14</v>
      </c>
      <c r="X71" s="164">
        <v>15</v>
      </c>
      <c r="Y71" s="164">
        <v>15</v>
      </c>
      <c r="Z71" s="164">
        <v>14</v>
      </c>
      <c r="AA71" s="164">
        <v>15</v>
      </c>
      <c r="AB71" s="166">
        <v>0</v>
      </c>
    </row>
    <row r="72" spans="1:41" ht="27.75" customHeight="1" x14ac:dyDescent="0.4">
      <c r="A72" s="163"/>
      <c r="B72" s="136" t="s">
        <v>17</v>
      </c>
      <c r="C72" s="164">
        <f t="shared" ref="C72:AB72" si="27">IF(C71&gt;0,C70/C71,0)</f>
        <v>13.513513513513512</v>
      </c>
      <c r="D72" s="166">
        <f t="shared" si="27"/>
        <v>0</v>
      </c>
      <c r="E72" s="164">
        <f t="shared" si="27"/>
        <v>13.310810810810811</v>
      </c>
      <c r="F72" s="164">
        <f t="shared" si="27"/>
        <v>13.566919191919194</v>
      </c>
      <c r="G72" s="164">
        <f t="shared" si="27"/>
        <v>9.5388888888888896</v>
      </c>
      <c r="H72" s="164">
        <f t="shared" si="27"/>
        <v>13.45</v>
      </c>
      <c r="I72" s="164">
        <f t="shared" si="27"/>
        <v>13.464285714285714</v>
      </c>
      <c r="J72" s="164">
        <f t="shared" si="27"/>
        <v>12.891791044776118</v>
      </c>
      <c r="K72" s="164">
        <f t="shared" si="27"/>
        <v>9.5595238095238102</v>
      </c>
      <c r="L72" s="164">
        <f t="shared" si="27"/>
        <v>13.448717948717949</v>
      </c>
      <c r="M72" s="164">
        <f t="shared" si="27"/>
        <v>13.666666666666666</v>
      </c>
      <c r="N72" s="164">
        <f t="shared" si="27"/>
        <v>13.21111111111111</v>
      </c>
      <c r="O72" s="164">
        <f t="shared" si="27"/>
        <v>13.946428571428571</v>
      </c>
      <c r="P72" s="164">
        <f t="shared" si="27"/>
        <v>12</v>
      </c>
      <c r="Q72" s="164">
        <f t="shared" si="27"/>
        <v>13.126323218066338</v>
      </c>
      <c r="R72" s="164">
        <f t="shared" si="27"/>
        <v>13.366666666666667</v>
      </c>
      <c r="S72" s="166">
        <f t="shared" si="27"/>
        <v>0</v>
      </c>
      <c r="T72" s="164">
        <f t="shared" si="27"/>
        <v>12.53125</v>
      </c>
      <c r="U72" s="166">
        <f t="shared" si="27"/>
        <v>0</v>
      </c>
      <c r="V72" s="164">
        <f t="shared" si="27"/>
        <v>13.166666666666666</v>
      </c>
      <c r="W72" s="164">
        <f t="shared" si="27"/>
        <v>12.952380952380953</v>
      </c>
      <c r="X72" s="164">
        <f t="shared" si="27"/>
        <v>10.833333333333334</v>
      </c>
      <c r="Y72" s="164">
        <f t="shared" si="27"/>
        <v>13.133333333333333</v>
      </c>
      <c r="Z72" s="164">
        <f t="shared" si="27"/>
        <v>10.535714285714286</v>
      </c>
      <c r="AA72" s="164">
        <f t="shared" si="27"/>
        <v>9.65</v>
      </c>
      <c r="AB72" s="166">
        <f t="shared" si="27"/>
        <v>0</v>
      </c>
      <c r="AC72" s="167">
        <f>SUM(C72:AB72)</f>
        <v>274.86432572780393</v>
      </c>
      <c r="AE72" s="136" t="s">
        <v>18</v>
      </c>
      <c r="AG72" s="136">
        <f>AI70/11.5</f>
        <v>28.42809364548495</v>
      </c>
    </row>
    <row r="73" spans="1:41" ht="27.75" customHeight="1" x14ac:dyDescent="0.4">
      <c r="A73" s="163"/>
      <c r="B73" s="136" t="s">
        <v>19</v>
      </c>
      <c r="C73" s="164">
        <f t="shared" ref="C73:AB73" si="28">IF(C71&gt;0,11.5,0)</f>
        <v>11.5</v>
      </c>
      <c r="D73" s="166">
        <f t="shared" si="28"/>
        <v>0</v>
      </c>
      <c r="E73" s="164">
        <f t="shared" si="28"/>
        <v>11.5</v>
      </c>
      <c r="F73" s="164">
        <f t="shared" si="28"/>
        <v>11.5</v>
      </c>
      <c r="G73" s="164">
        <f t="shared" si="28"/>
        <v>11.5</v>
      </c>
      <c r="H73" s="164">
        <f t="shared" si="28"/>
        <v>11.5</v>
      </c>
      <c r="I73" s="164">
        <f t="shared" si="28"/>
        <v>11.5</v>
      </c>
      <c r="J73" s="164">
        <f t="shared" si="28"/>
        <v>11.5</v>
      </c>
      <c r="K73" s="164">
        <f t="shared" si="28"/>
        <v>11.5</v>
      </c>
      <c r="L73" s="164">
        <f t="shared" si="28"/>
        <v>11.5</v>
      </c>
      <c r="M73" s="164">
        <f t="shared" si="28"/>
        <v>11.5</v>
      </c>
      <c r="N73" s="164">
        <f t="shared" si="28"/>
        <v>11.5</v>
      </c>
      <c r="O73" s="164">
        <f t="shared" si="28"/>
        <v>11.5</v>
      </c>
      <c r="P73" s="164">
        <f t="shared" si="28"/>
        <v>11.5</v>
      </c>
      <c r="Q73" s="164">
        <f t="shared" si="28"/>
        <v>11.5</v>
      </c>
      <c r="R73" s="164">
        <f t="shared" si="28"/>
        <v>11.5</v>
      </c>
      <c r="S73" s="166">
        <f t="shared" si="28"/>
        <v>0</v>
      </c>
      <c r="T73" s="164">
        <f t="shared" si="28"/>
        <v>11.5</v>
      </c>
      <c r="U73" s="166">
        <f t="shared" si="28"/>
        <v>0</v>
      </c>
      <c r="V73" s="164">
        <f t="shared" si="28"/>
        <v>11.5</v>
      </c>
      <c r="W73" s="164">
        <f t="shared" si="28"/>
        <v>11.5</v>
      </c>
      <c r="X73" s="164">
        <f t="shared" si="28"/>
        <v>11.5</v>
      </c>
      <c r="Y73" s="164">
        <f t="shared" si="28"/>
        <v>11.5</v>
      </c>
      <c r="Z73" s="164">
        <f t="shared" si="28"/>
        <v>11.5</v>
      </c>
      <c r="AA73" s="164">
        <f t="shared" si="28"/>
        <v>11.5</v>
      </c>
      <c r="AB73" s="166">
        <f t="shared" si="28"/>
        <v>0</v>
      </c>
      <c r="AC73" s="167">
        <f>SUM(C73:AB73)</f>
        <v>253</v>
      </c>
      <c r="AE73" s="136" t="s">
        <v>20</v>
      </c>
      <c r="AG73" s="136">
        <f>AC74*AG72</f>
        <v>621.56109928539558</v>
      </c>
    </row>
    <row r="74" spans="1:41" ht="27.75" customHeight="1" x14ac:dyDescent="0.4">
      <c r="A74" s="168"/>
      <c r="B74" s="169" t="s">
        <v>21</v>
      </c>
      <c r="C74" s="170">
        <f t="shared" ref="C74:AB74" si="29">IF(C71&gt;0,C72-C73,0)</f>
        <v>2.0135135135135123</v>
      </c>
      <c r="D74" s="172">
        <f t="shared" si="29"/>
        <v>0</v>
      </c>
      <c r="E74" s="170">
        <f t="shared" si="29"/>
        <v>1.8108108108108105</v>
      </c>
      <c r="F74" s="170">
        <f t="shared" si="29"/>
        <v>2.0669191919191938</v>
      </c>
      <c r="G74" s="170">
        <f t="shared" si="29"/>
        <v>-1.9611111111111104</v>
      </c>
      <c r="H74" s="170">
        <f t="shared" si="29"/>
        <v>1.9499999999999993</v>
      </c>
      <c r="I74" s="170">
        <f t="shared" si="29"/>
        <v>1.9642857142857135</v>
      </c>
      <c r="J74" s="170">
        <f t="shared" si="29"/>
        <v>1.3917910447761184</v>
      </c>
      <c r="K74" s="170">
        <f t="shared" si="29"/>
        <v>-1.9404761904761898</v>
      </c>
      <c r="L74" s="170">
        <f t="shared" si="29"/>
        <v>1.9487179487179489</v>
      </c>
      <c r="M74" s="170">
        <f t="shared" si="29"/>
        <v>2.1666666666666661</v>
      </c>
      <c r="N74" s="170">
        <f t="shared" si="29"/>
        <v>1.7111111111111104</v>
      </c>
      <c r="O74" s="170">
        <f t="shared" si="29"/>
        <v>2.4464285714285712</v>
      </c>
      <c r="P74" s="170">
        <f t="shared" si="29"/>
        <v>0.5</v>
      </c>
      <c r="Q74" s="170">
        <f t="shared" si="29"/>
        <v>1.6263232180663376</v>
      </c>
      <c r="R74" s="170">
        <f t="shared" si="29"/>
        <v>1.8666666666666671</v>
      </c>
      <c r="S74" s="172">
        <f t="shared" si="29"/>
        <v>0</v>
      </c>
      <c r="T74" s="170">
        <f t="shared" si="29"/>
        <v>1.03125</v>
      </c>
      <c r="U74" s="172">
        <f t="shared" si="29"/>
        <v>0</v>
      </c>
      <c r="V74" s="170">
        <f t="shared" si="29"/>
        <v>1.6666666666666661</v>
      </c>
      <c r="W74" s="170">
        <f t="shared" si="29"/>
        <v>1.4523809523809526</v>
      </c>
      <c r="X74" s="170">
        <f t="shared" si="29"/>
        <v>-0.66666666666666607</v>
      </c>
      <c r="Y74" s="170">
        <f t="shared" si="29"/>
        <v>1.6333333333333329</v>
      </c>
      <c r="Z74" s="170">
        <f t="shared" si="29"/>
        <v>-0.96428571428571352</v>
      </c>
      <c r="AA74" s="170">
        <f t="shared" si="29"/>
        <v>-1.8499999999999996</v>
      </c>
      <c r="AB74" s="172">
        <f t="shared" si="29"/>
        <v>0</v>
      </c>
      <c r="AC74" s="167">
        <f>SUM(C74:AB74)</f>
        <v>21.864325727803916</v>
      </c>
      <c r="AH74">
        <f>AF74/175</f>
        <v>0</v>
      </c>
    </row>
    <row r="75" spans="1:41" ht="27.75" customHeight="1" x14ac:dyDescent="0.4"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</row>
    <row r="76" spans="1:41" ht="27.75" customHeight="1" x14ac:dyDescent="0.4"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</row>
    <row r="77" spans="1:41" ht="27.75" customHeight="1" x14ac:dyDescent="0.4">
      <c r="B77" s="136" t="s">
        <v>34</v>
      </c>
      <c r="C77" s="137">
        <v>1.06</v>
      </c>
      <c r="D77" s="138">
        <v>2.06</v>
      </c>
      <c r="E77" s="140">
        <v>3.06</v>
      </c>
      <c r="F77" s="138">
        <v>4.0599999999999996</v>
      </c>
      <c r="G77" s="138">
        <v>5.0599999999999996</v>
      </c>
      <c r="H77" s="138">
        <v>6.06</v>
      </c>
      <c r="I77" s="138">
        <v>8.06</v>
      </c>
      <c r="J77" s="138">
        <v>9.06</v>
      </c>
      <c r="K77" s="138">
        <v>10.06</v>
      </c>
      <c r="L77" s="138">
        <v>11.06</v>
      </c>
      <c r="M77" s="138">
        <v>12.06</v>
      </c>
      <c r="N77" s="138">
        <v>13.06</v>
      </c>
      <c r="O77" s="138">
        <v>15.06</v>
      </c>
      <c r="P77" s="140">
        <v>16.059999999999999</v>
      </c>
      <c r="Q77" s="138">
        <v>17.059999999999999</v>
      </c>
      <c r="R77" s="138">
        <v>18.059999999999999</v>
      </c>
      <c r="S77" s="138">
        <v>19.059999999999999</v>
      </c>
      <c r="T77" s="138">
        <v>20.059999999999999</v>
      </c>
      <c r="U77" s="138">
        <v>22.06</v>
      </c>
      <c r="V77" s="140">
        <v>23.06</v>
      </c>
      <c r="W77" s="138">
        <v>24.06</v>
      </c>
      <c r="X77" s="141">
        <v>25.06</v>
      </c>
      <c r="Y77" s="142">
        <v>26.06</v>
      </c>
      <c r="Z77" s="142">
        <v>27.06</v>
      </c>
      <c r="AA77" s="143">
        <v>29.06</v>
      </c>
      <c r="AB77" s="142">
        <v>30.06</v>
      </c>
      <c r="AC77" s="144" t="s">
        <v>1</v>
      </c>
      <c r="AD77" s="145" t="s">
        <v>2</v>
      </c>
      <c r="AE77" s="146" t="s">
        <v>3</v>
      </c>
      <c r="AF77" s="147" t="s">
        <v>4</v>
      </c>
      <c r="AG77" s="147" t="s">
        <v>5</v>
      </c>
      <c r="AH77" s="145" t="s">
        <v>6</v>
      </c>
      <c r="AI77" s="145" t="s">
        <v>7</v>
      </c>
      <c r="AJ77" s="148" t="s">
        <v>8</v>
      </c>
      <c r="AK77" s="145" t="s">
        <v>9</v>
      </c>
      <c r="AL77" s="145" t="s">
        <v>10</v>
      </c>
      <c r="AM77" s="149" t="s">
        <v>11</v>
      </c>
      <c r="AN77" s="145" t="s">
        <v>12</v>
      </c>
      <c r="AO77" s="150" t="s">
        <v>13</v>
      </c>
    </row>
    <row r="78" spans="1:41" ht="41.25" customHeight="1" x14ac:dyDescent="0.6">
      <c r="A78" s="151">
        <v>7</v>
      </c>
      <c r="B78" s="152" t="s">
        <v>35</v>
      </c>
      <c r="C78" s="153">
        <v>200</v>
      </c>
      <c r="D78" s="153">
        <v>163.75</v>
      </c>
      <c r="E78" s="188">
        <v>0</v>
      </c>
      <c r="F78" s="153">
        <f>177.75+8/6</f>
        <v>179.08333333333334</v>
      </c>
      <c r="G78" s="153">
        <f>136.75+38/6</f>
        <v>143.08333333333334</v>
      </c>
      <c r="H78" s="153">
        <v>201.75</v>
      </c>
      <c r="I78" s="153">
        <v>188.5</v>
      </c>
      <c r="J78" s="153">
        <v>172.75</v>
      </c>
      <c r="K78" s="153">
        <f>131+17/6</f>
        <v>133.83333333333334</v>
      </c>
      <c r="L78" s="153">
        <f>168.5+38/6</f>
        <v>174.83333333333334</v>
      </c>
      <c r="M78" s="153">
        <v>205</v>
      </c>
      <c r="N78" s="153">
        <f>196.5+10/6</f>
        <v>198.16666666666666</v>
      </c>
      <c r="O78" s="153">
        <v>195.25</v>
      </c>
      <c r="P78" s="156">
        <v>0</v>
      </c>
      <c r="Q78" s="153">
        <v>186</v>
      </c>
      <c r="R78" s="153">
        <v>200.5</v>
      </c>
      <c r="S78" s="153">
        <v>197</v>
      </c>
      <c r="T78" s="153">
        <v>200.5</v>
      </c>
      <c r="U78" s="153">
        <f>205.25+5/6</f>
        <v>206.08333333333334</v>
      </c>
      <c r="V78" s="156">
        <v>0</v>
      </c>
      <c r="W78" s="153">
        <f>171.5+59/6</f>
        <v>181.33333333333334</v>
      </c>
      <c r="X78" s="153">
        <v>162.5</v>
      </c>
      <c r="Y78" s="153">
        <f>190+42/6</f>
        <v>197</v>
      </c>
      <c r="Z78" s="153">
        <v>147.5</v>
      </c>
      <c r="AA78" s="156">
        <v>0</v>
      </c>
      <c r="AB78" s="153">
        <f>149.5+14/6</f>
        <v>151.83333333333334</v>
      </c>
      <c r="AC78" s="157">
        <f>SUM(C78:AB78)</f>
        <v>3986.2500000000005</v>
      </c>
      <c r="AD78" s="158">
        <f>COUNTIF(C79:AB79,"&gt;0")</f>
        <v>22</v>
      </c>
      <c r="AE78" s="158">
        <f>AD78*$AE$11</f>
        <v>3740</v>
      </c>
      <c r="AF78" s="158">
        <f>AC78-AE78</f>
        <v>246.25000000000045</v>
      </c>
      <c r="AG78" s="158">
        <f>$AG$11</f>
        <v>26</v>
      </c>
      <c r="AH78" s="158">
        <f>AF78/175</f>
        <v>1.4071428571428597</v>
      </c>
      <c r="AI78" s="158">
        <f>AK78/AG78</f>
        <v>307.69230769230768</v>
      </c>
      <c r="AJ78" s="159">
        <f>AI78*AH78</f>
        <v>432.96703296703373</v>
      </c>
      <c r="AK78" s="158">
        <v>8000</v>
      </c>
      <c r="AL78" s="160">
        <f>AK78+AJ78</f>
        <v>8432.9670329670334</v>
      </c>
      <c r="AM78" s="152" t="s">
        <v>35</v>
      </c>
      <c r="AN78" s="161"/>
      <c r="AO78" s="161"/>
    </row>
    <row r="79" spans="1:41" ht="27.75" customHeight="1" x14ac:dyDescent="0.4">
      <c r="A79" s="163"/>
      <c r="B79" s="136" t="s">
        <v>16</v>
      </c>
      <c r="C79" s="164">
        <v>14.8</v>
      </c>
      <c r="D79" s="164">
        <v>15</v>
      </c>
      <c r="E79" s="166">
        <v>0</v>
      </c>
      <c r="F79" s="164">
        <v>13.2</v>
      </c>
      <c r="G79" s="164">
        <v>15</v>
      </c>
      <c r="H79" s="164">
        <v>15</v>
      </c>
      <c r="I79" s="164">
        <v>14</v>
      </c>
      <c r="J79" s="164">
        <v>13.4</v>
      </c>
      <c r="K79" s="164">
        <v>14</v>
      </c>
      <c r="L79" s="164">
        <v>13</v>
      </c>
      <c r="M79" s="164">
        <v>15</v>
      </c>
      <c r="N79" s="164">
        <v>15</v>
      </c>
      <c r="O79" s="164">
        <v>14</v>
      </c>
      <c r="P79" s="166">
        <v>0</v>
      </c>
      <c r="Q79" s="164">
        <v>14.17</v>
      </c>
      <c r="R79" s="164">
        <v>15</v>
      </c>
      <c r="S79" s="164">
        <v>13</v>
      </c>
      <c r="T79" s="164">
        <v>16</v>
      </c>
      <c r="U79" s="164">
        <v>15</v>
      </c>
      <c r="V79" s="166">
        <v>0</v>
      </c>
      <c r="W79" s="164">
        <v>14</v>
      </c>
      <c r="X79" s="164">
        <v>15</v>
      </c>
      <c r="Y79" s="164">
        <v>15</v>
      </c>
      <c r="Z79" s="164">
        <v>14</v>
      </c>
      <c r="AA79" s="166">
        <v>0</v>
      </c>
      <c r="AB79" s="164">
        <v>14</v>
      </c>
    </row>
    <row r="80" spans="1:41" ht="27.75" customHeight="1" x14ac:dyDescent="0.4">
      <c r="A80" s="163"/>
      <c r="B80" s="136" t="s">
        <v>17</v>
      </c>
      <c r="C80" s="164">
        <f t="shared" ref="C80:AB80" si="30">IF(C79&gt;0,C78/C79,0)</f>
        <v>13.513513513513512</v>
      </c>
      <c r="D80" s="164">
        <f t="shared" si="30"/>
        <v>10.916666666666666</v>
      </c>
      <c r="E80" s="166">
        <f t="shared" si="30"/>
        <v>0</v>
      </c>
      <c r="F80" s="164">
        <f t="shared" si="30"/>
        <v>13.566919191919194</v>
      </c>
      <c r="G80" s="164">
        <f t="shared" si="30"/>
        <v>9.5388888888888896</v>
      </c>
      <c r="H80" s="164">
        <f t="shared" si="30"/>
        <v>13.45</v>
      </c>
      <c r="I80" s="164">
        <f t="shared" si="30"/>
        <v>13.464285714285714</v>
      </c>
      <c r="J80" s="164">
        <f t="shared" si="30"/>
        <v>12.891791044776118</v>
      </c>
      <c r="K80" s="164">
        <f t="shared" si="30"/>
        <v>9.5595238095238102</v>
      </c>
      <c r="L80" s="164">
        <f t="shared" si="30"/>
        <v>13.448717948717949</v>
      </c>
      <c r="M80" s="164">
        <f t="shared" si="30"/>
        <v>13.666666666666666</v>
      </c>
      <c r="N80" s="164">
        <f t="shared" si="30"/>
        <v>13.21111111111111</v>
      </c>
      <c r="O80" s="164">
        <f t="shared" si="30"/>
        <v>13.946428571428571</v>
      </c>
      <c r="P80" s="166">
        <f t="shared" si="30"/>
        <v>0</v>
      </c>
      <c r="Q80" s="164">
        <f t="shared" si="30"/>
        <v>13.126323218066338</v>
      </c>
      <c r="R80" s="164">
        <f t="shared" si="30"/>
        <v>13.366666666666667</v>
      </c>
      <c r="S80" s="164">
        <f t="shared" si="30"/>
        <v>15.153846153846153</v>
      </c>
      <c r="T80" s="164">
        <f t="shared" si="30"/>
        <v>12.53125</v>
      </c>
      <c r="U80" s="164">
        <f t="shared" si="30"/>
        <v>13.738888888888889</v>
      </c>
      <c r="V80" s="166">
        <f t="shared" si="30"/>
        <v>0</v>
      </c>
      <c r="W80" s="164">
        <f t="shared" si="30"/>
        <v>12.952380952380953</v>
      </c>
      <c r="X80" s="164">
        <f t="shared" si="30"/>
        <v>10.833333333333334</v>
      </c>
      <c r="Y80" s="164">
        <f t="shared" si="30"/>
        <v>13.133333333333333</v>
      </c>
      <c r="Z80" s="164">
        <f t="shared" si="30"/>
        <v>10.535714285714286</v>
      </c>
      <c r="AA80" s="166">
        <f t="shared" si="30"/>
        <v>0</v>
      </c>
      <c r="AB80" s="164">
        <f t="shared" si="30"/>
        <v>10.845238095238097</v>
      </c>
      <c r="AC80" s="167">
        <f>SUM(C80:AB80)</f>
        <v>277.39148805496626</v>
      </c>
      <c r="AE80" s="136" t="s">
        <v>18</v>
      </c>
      <c r="AG80" s="136">
        <f>AI78/11.5</f>
        <v>26.755852842809364</v>
      </c>
    </row>
    <row r="81" spans="1:41" ht="27.75" customHeight="1" x14ac:dyDescent="0.4">
      <c r="A81" s="163"/>
      <c r="B81" s="136" t="s">
        <v>19</v>
      </c>
      <c r="C81" s="164">
        <f t="shared" ref="C81:AB81" si="31">IF(C79&gt;0,11.5,0)</f>
        <v>11.5</v>
      </c>
      <c r="D81" s="164">
        <f t="shared" si="31"/>
        <v>11.5</v>
      </c>
      <c r="E81" s="166">
        <f t="shared" si="31"/>
        <v>0</v>
      </c>
      <c r="F81" s="164">
        <f t="shared" si="31"/>
        <v>11.5</v>
      </c>
      <c r="G81" s="164">
        <f t="shared" si="31"/>
        <v>11.5</v>
      </c>
      <c r="H81" s="164">
        <f t="shared" si="31"/>
        <v>11.5</v>
      </c>
      <c r="I81" s="164">
        <f t="shared" si="31"/>
        <v>11.5</v>
      </c>
      <c r="J81" s="164">
        <f t="shared" si="31"/>
        <v>11.5</v>
      </c>
      <c r="K81" s="164">
        <f t="shared" si="31"/>
        <v>11.5</v>
      </c>
      <c r="L81" s="164">
        <f t="shared" si="31"/>
        <v>11.5</v>
      </c>
      <c r="M81" s="164">
        <f t="shared" si="31"/>
        <v>11.5</v>
      </c>
      <c r="N81" s="164">
        <f t="shared" si="31"/>
        <v>11.5</v>
      </c>
      <c r="O81" s="164">
        <f t="shared" si="31"/>
        <v>11.5</v>
      </c>
      <c r="P81" s="166">
        <f t="shared" si="31"/>
        <v>0</v>
      </c>
      <c r="Q81" s="164">
        <f t="shared" si="31"/>
        <v>11.5</v>
      </c>
      <c r="R81" s="164">
        <f t="shared" si="31"/>
        <v>11.5</v>
      </c>
      <c r="S81" s="164">
        <f t="shared" si="31"/>
        <v>11.5</v>
      </c>
      <c r="T81" s="164">
        <f t="shared" si="31"/>
        <v>11.5</v>
      </c>
      <c r="U81" s="164">
        <f t="shared" si="31"/>
        <v>11.5</v>
      </c>
      <c r="V81" s="166">
        <f t="shared" si="31"/>
        <v>0</v>
      </c>
      <c r="W81" s="164">
        <f t="shared" si="31"/>
        <v>11.5</v>
      </c>
      <c r="X81" s="164">
        <f t="shared" si="31"/>
        <v>11.5</v>
      </c>
      <c r="Y81" s="164">
        <f t="shared" si="31"/>
        <v>11.5</v>
      </c>
      <c r="Z81" s="164">
        <f t="shared" si="31"/>
        <v>11.5</v>
      </c>
      <c r="AA81" s="166">
        <f t="shared" si="31"/>
        <v>0</v>
      </c>
      <c r="AB81" s="164">
        <f t="shared" si="31"/>
        <v>11.5</v>
      </c>
      <c r="AC81" s="167">
        <f>SUM(C81:AB81)</f>
        <v>253</v>
      </c>
      <c r="AE81" s="136" t="s">
        <v>20</v>
      </c>
      <c r="AG81" s="136">
        <f>AC82*AG80</f>
        <v>652.61506501581925</v>
      </c>
    </row>
    <row r="82" spans="1:41" ht="27.75" customHeight="1" x14ac:dyDescent="0.4">
      <c r="A82" s="168"/>
      <c r="B82" s="169" t="s">
        <v>21</v>
      </c>
      <c r="C82" s="170">
        <f t="shared" ref="C82:AB82" si="32">IF(C79&gt;0,C80-C81,0)</f>
        <v>2.0135135135135123</v>
      </c>
      <c r="D82" s="170">
        <f t="shared" si="32"/>
        <v>-0.58333333333333393</v>
      </c>
      <c r="E82" s="172">
        <f t="shared" si="32"/>
        <v>0</v>
      </c>
      <c r="F82" s="170">
        <f t="shared" si="32"/>
        <v>2.0669191919191938</v>
      </c>
      <c r="G82" s="170">
        <f t="shared" si="32"/>
        <v>-1.9611111111111104</v>
      </c>
      <c r="H82" s="170">
        <f t="shared" si="32"/>
        <v>1.9499999999999993</v>
      </c>
      <c r="I82" s="170">
        <f t="shared" si="32"/>
        <v>1.9642857142857135</v>
      </c>
      <c r="J82" s="170">
        <f t="shared" si="32"/>
        <v>1.3917910447761184</v>
      </c>
      <c r="K82" s="170">
        <f t="shared" si="32"/>
        <v>-1.9404761904761898</v>
      </c>
      <c r="L82" s="170">
        <f t="shared" si="32"/>
        <v>1.9487179487179489</v>
      </c>
      <c r="M82" s="170">
        <f t="shared" si="32"/>
        <v>2.1666666666666661</v>
      </c>
      <c r="N82" s="170">
        <f t="shared" si="32"/>
        <v>1.7111111111111104</v>
      </c>
      <c r="O82" s="170">
        <f t="shared" si="32"/>
        <v>2.4464285714285712</v>
      </c>
      <c r="P82" s="172">
        <f t="shared" si="32"/>
        <v>0</v>
      </c>
      <c r="Q82" s="170">
        <f t="shared" si="32"/>
        <v>1.6263232180663376</v>
      </c>
      <c r="R82" s="170">
        <f t="shared" si="32"/>
        <v>1.8666666666666671</v>
      </c>
      <c r="S82" s="170">
        <f t="shared" si="32"/>
        <v>3.6538461538461533</v>
      </c>
      <c r="T82" s="170">
        <f t="shared" si="32"/>
        <v>1.03125</v>
      </c>
      <c r="U82" s="170">
        <f t="shared" si="32"/>
        <v>2.2388888888888889</v>
      </c>
      <c r="V82" s="172">
        <f t="shared" si="32"/>
        <v>0</v>
      </c>
      <c r="W82" s="170">
        <f t="shared" si="32"/>
        <v>1.4523809523809526</v>
      </c>
      <c r="X82" s="170">
        <f t="shared" si="32"/>
        <v>-0.66666666666666607</v>
      </c>
      <c r="Y82" s="170">
        <f t="shared" si="32"/>
        <v>1.6333333333333329</v>
      </c>
      <c r="Z82" s="170">
        <f t="shared" si="32"/>
        <v>-0.96428571428571352</v>
      </c>
      <c r="AA82" s="172">
        <f t="shared" si="32"/>
        <v>0</v>
      </c>
      <c r="AB82" s="170">
        <f t="shared" si="32"/>
        <v>-0.65476190476190332</v>
      </c>
      <c r="AC82" s="167">
        <f>SUM(C82:AB82)</f>
        <v>24.391488054966246</v>
      </c>
      <c r="AH82">
        <f>AF82/175</f>
        <v>0</v>
      </c>
    </row>
    <row r="83" spans="1:41" ht="27.75" customHeight="1" x14ac:dyDescent="0.4"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</row>
    <row r="84" spans="1:41" ht="27.75" customHeight="1" x14ac:dyDescent="0.4"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</row>
    <row r="85" spans="1:41" ht="27.75" customHeight="1" x14ac:dyDescent="0.4">
      <c r="B85" s="136" t="s">
        <v>36</v>
      </c>
      <c r="C85" s="137">
        <v>1.06</v>
      </c>
      <c r="D85" s="138">
        <v>2.06</v>
      </c>
      <c r="E85" s="138">
        <v>3.06</v>
      </c>
      <c r="F85" s="138">
        <v>4.0599999999999996</v>
      </c>
      <c r="G85" s="138">
        <v>5.0599999999999996</v>
      </c>
      <c r="H85" s="138">
        <v>6.06</v>
      </c>
      <c r="I85" s="138">
        <v>8.06</v>
      </c>
      <c r="J85" s="138">
        <v>9.06</v>
      </c>
      <c r="K85" s="138">
        <v>10.06</v>
      </c>
      <c r="L85" s="138">
        <v>11.06</v>
      </c>
      <c r="M85" s="138">
        <v>12.06</v>
      </c>
      <c r="N85" s="138">
        <v>13.06</v>
      </c>
      <c r="O85" s="138">
        <v>15.06</v>
      </c>
      <c r="P85" s="138">
        <v>16.059999999999999</v>
      </c>
      <c r="Q85" s="138">
        <v>17.059999999999999</v>
      </c>
      <c r="R85" s="138">
        <v>18.059999999999999</v>
      </c>
      <c r="S85" s="138">
        <v>19.059999999999999</v>
      </c>
      <c r="T85" s="138">
        <v>20.059999999999999</v>
      </c>
      <c r="U85" s="138">
        <v>22.06</v>
      </c>
      <c r="V85" s="138">
        <v>23.06</v>
      </c>
      <c r="W85" s="138">
        <v>24.06</v>
      </c>
      <c r="X85" s="141">
        <v>25.06</v>
      </c>
      <c r="Y85" s="142">
        <v>26.06</v>
      </c>
      <c r="Z85" s="142">
        <v>27.06</v>
      </c>
      <c r="AA85" s="142">
        <v>29.06</v>
      </c>
      <c r="AB85" s="142">
        <v>30.06</v>
      </c>
      <c r="AC85" s="144" t="s">
        <v>1</v>
      </c>
      <c r="AD85" s="145" t="s">
        <v>2</v>
      </c>
      <c r="AE85" s="146" t="s">
        <v>3</v>
      </c>
      <c r="AF85" s="147" t="s">
        <v>4</v>
      </c>
      <c r="AG85" s="147" t="s">
        <v>5</v>
      </c>
      <c r="AH85" s="145" t="s">
        <v>6</v>
      </c>
      <c r="AI85" s="145" t="s">
        <v>7</v>
      </c>
      <c r="AJ85" s="148" t="s">
        <v>8</v>
      </c>
      <c r="AK85" s="145" t="s">
        <v>9</v>
      </c>
      <c r="AL85" s="145" t="s">
        <v>10</v>
      </c>
      <c r="AM85" s="149" t="s">
        <v>11</v>
      </c>
      <c r="AN85" s="145" t="s">
        <v>12</v>
      </c>
      <c r="AO85" s="150" t="s">
        <v>13</v>
      </c>
    </row>
    <row r="86" spans="1:41" ht="44.25" customHeight="1" x14ac:dyDescent="0.6">
      <c r="A86" s="151">
        <v>8</v>
      </c>
      <c r="B86" s="189" t="s">
        <v>37</v>
      </c>
      <c r="C86" s="153"/>
      <c r="D86" s="153"/>
      <c r="E86" s="154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>
        <f>205.25+5/6</f>
        <v>206.08333333333334</v>
      </c>
      <c r="V86" s="153">
        <v>197.5</v>
      </c>
      <c r="W86" s="153">
        <f>171.5+59/6</f>
        <v>181.33333333333334</v>
      </c>
      <c r="X86" s="153">
        <v>162.5</v>
      </c>
      <c r="Y86" s="153">
        <f>190+42/6</f>
        <v>197</v>
      </c>
      <c r="Z86" s="153">
        <v>147.5</v>
      </c>
      <c r="AA86" s="153">
        <v>144.75</v>
      </c>
      <c r="AB86" s="153">
        <f>149.5+14/6</f>
        <v>151.83333333333334</v>
      </c>
      <c r="AC86" s="157">
        <f>SUM(C86:AB86)</f>
        <v>1388.5</v>
      </c>
      <c r="AD86" s="158">
        <v>8</v>
      </c>
      <c r="AE86" s="158">
        <f>AD86*$AE$11</f>
        <v>1360</v>
      </c>
      <c r="AF86" s="158">
        <f>AC86-AE86</f>
        <v>28.5</v>
      </c>
      <c r="AG86" s="158">
        <f>$AG$11</f>
        <v>26</v>
      </c>
      <c r="AH86" s="158">
        <f>AF86/175</f>
        <v>0.16285714285714287</v>
      </c>
      <c r="AI86" s="158">
        <f>AK86/AG86</f>
        <v>269.23076923076923</v>
      </c>
      <c r="AJ86" s="159">
        <f>AI86*AH86</f>
        <v>43.846153846153847</v>
      </c>
      <c r="AK86" s="158">
        <v>7000</v>
      </c>
      <c r="AL86" s="160">
        <f>AK86+AJ86</f>
        <v>7043.8461538461543</v>
      </c>
      <c r="AM86" s="189" t="s">
        <v>37</v>
      </c>
      <c r="AN86" s="161"/>
      <c r="AO86" s="161"/>
    </row>
    <row r="87" spans="1:41" ht="27.75" customHeight="1" x14ac:dyDescent="0.4">
      <c r="A87" s="163"/>
      <c r="B87" s="136" t="s">
        <v>16</v>
      </c>
      <c r="C87" s="164">
        <v>14.8</v>
      </c>
      <c r="D87" s="164">
        <v>15</v>
      </c>
      <c r="E87" s="164">
        <v>14.8</v>
      </c>
      <c r="F87" s="164">
        <v>13.2</v>
      </c>
      <c r="G87" s="164">
        <v>15</v>
      </c>
      <c r="H87" s="164">
        <v>15</v>
      </c>
      <c r="I87" s="164">
        <v>14</v>
      </c>
      <c r="J87" s="164">
        <v>13.4</v>
      </c>
      <c r="K87" s="164">
        <v>14</v>
      </c>
      <c r="L87" s="164">
        <v>13</v>
      </c>
      <c r="M87" s="164">
        <v>15</v>
      </c>
      <c r="N87" s="164">
        <v>15</v>
      </c>
      <c r="O87" s="164">
        <v>14</v>
      </c>
      <c r="P87" s="164">
        <v>14.25</v>
      </c>
      <c r="Q87" s="164">
        <v>14.17</v>
      </c>
      <c r="R87" s="164">
        <v>15</v>
      </c>
      <c r="S87" s="164">
        <v>13</v>
      </c>
      <c r="T87" s="164">
        <v>16</v>
      </c>
      <c r="U87" s="164">
        <v>15</v>
      </c>
      <c r="V87" s="164">
        <v>15</v>
      </c>
      <c r="W87" s="164">
        <v>14</v>
      </c>
      <c r="X87" s="164">
        <v>15</v>
      </c>
      <c r="Y87" s="164">
        <v>15</v>
      </c>
      <c r="Z87" s="164">
        <v>14</v>
      </c>
      <c r="AA87" s="164">
        <v>15</v>
      </c>
      <c r="AB87" s="164">
        <v>14</v>
      </c>
    </row>
    <row r="88" spans="1:41" ht="27.75" customHeight="1" x14ac:dyDescent="0.4">
      <c r="A88" s="163"/>
      <c r="B88" s="136" t="s">
        <v>17</v>
      </c>
      <c r="C88" s="164">
        <f t="shared" ref="C88:AB88" si="33">IF(C87&gt;0,C86/C87,0)</f>
        <v>0</v>
      </c>
      <c r="D88" s="164">
        <f t="shared" si="33"/>
        <v>0</v>
      </c>
      <c r="E88" s="164">
        <f t="shared" si="33"/>
        <v>0</v>
      </c>
      <c r="F88" s="164">
        <f t="shared" si="33"/>
        <v>0</v>
      </c>
      <c r="G88" s="164">
        <f t="shared" si="33"/>
        <v>0</v>
      </c>
      <c r="H88" s="164">
        <f t="shared" si="33"/>
        <v>0</v>
      </c>
      <c r="I88" s="164">
        <f t="shared" si="33"/>
        <v>0</v>
      </c>
      <c r="J88" s="164">
        <f t="shared" si="33"/>
        <v>0</v>
      </c>
      <c r="K88" s="164">
        <f t="shared" si="33"/>
        <v>0</v>
      </c>
      <c r="L88" s="164">
        <f t="shared" si="33"/>
        <v>0</v>
      </c>
      <c r="M88" s="164">
        <f t="shared" si="33"/>
        <v>0</v>
      </c>
      <c r="N88" s="164">
        <f t="shared" si="33"/>
        <v>0</v>
      </c>
      <c r="O88" s="164">
        <f t="shared" si="33"/>
        <v>0</v>
      </c>
      <c r="P88" s="164">
        <f t="shared" si="33"/>
        <v>0</v>
      </c>
      <c r="Q88" s="164">
        <f t="shared" si="33"/>
        <v>0</v>
      </c>
      <c r="R88" s="164">
        <f t="shared" si="33"/>
        <v>0</v>
      </c>
      <c r="S88" s="164">
        <f t="shared" si="33"/>
        <v>0</v>
      </c>
      <c r="T88" s="164">
        <f t="shared" si="33"/>
        <v>0</v>
      </c>
      <c r="U88" s="164">
        <f t="shared" si="33"/>
        <v>13.738888888888889</v>
      </c>
      <c r="V88" s="164">
        <f t="shared" si="33"/>
        <v>13.166666666666666</v>
      </c>
      <c r="W88" s="164">
        <f t="shared" si="33"/>
        <v>12.952380952380953</v>
      </c>
      <c r="X88" s="164">
        <f t="shared" si="33"/>
        <v>10.833333333333334</v>
      </c>
      <c r="Y88" s="164">
        <f t="shared" si="33"/>
        <v>13.133333333333333</v>
      </c>
      <c r="Z88" s="164">
        <f t="shared" si="33"/>
        <v>10.535714285714286</v>
      </c>
      <c r="AA88" s="164">
        <f t="shared" si="33"/>
        <v>9.65</v>
      </c>
      <c r="AB88" s="164">
        <f t="shared" si="33"/>
        <v>10.845238095238097</v>
      </c>
      <c r="AC88" s="167">
        <f>SUM(C88:AB88)</f>
        <v>94.855555555555569</v>
      </c>
      <c r="AE88" s="136" t="s">
        <v>18</v>
      </c>
      <c r="AG88" s="136">
        <f>AI86/11.5</f>
        <v>23.411371237458194</v>
      </c>
    </row>
    <row r="89" spans="1:41" ht="27.75" customHeight="1" x14ac:dyDescent="0.4">
      <c r="A89" s="163"/>
      <c r="B89" s="136" t="s">
        <v>19</v>
      </c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>
        <f t="shared" ref="U89:AB89" si="34">IF(U87&gt;0,11.5,0)</f>
        <v>11.5</v>
      </c>
      <c r="V89" s="164">
        <f t="shared" si="34"/>
        <v>11.5</v>
      </c>
      <c r="W89" s="164">
        <f t="shared" si="34"/>
        <v>11.5</v>
      </c>
      <c r="X89" s="164">
        <f t="shared" si="34"/>
        <v>11.5</v>
      </c>
      <c r="Y89" s="164">
        <f t="shared" si="34"/>
        <v>11.5</v>
      </c>
      <c r="Z89" s="164">
        <f t="shared" si="34"/>
        <v>11.5</v>
      </c>
      <c r="AA89" s="164">
        <f t="shared" si="34"/>
        <v>11.5</v>
      </c>
      <c r="AB89" s="164">
        <f t="shared" si="34"/>
        <v>11.5</v>
      </c>
      <c r="AC89" s="167">
        <f>SUM(C89:AB89)</f>
        <v>92</v>
      </c>
      <c r="AE89" s="136" t="s">
        <v>20</v>
      </c>
      <c r="AG89" s="136">
        <f>AC90*AG88</f>
        <v>66.852471200297344</v>
      </c>
    </row>
    <row r="90" spans="1:41" ht="27.75" customHeight="1" x14ac:dyDescent="0.4">
      <c r="A90" s="168"/>
      <c r="B90" s="169" t="s">
        <v>21</v>
      </c>
      <c r="C90" s="170">
        <f t="shared" ref="C90:AB90" si="35">IF(C87&gt;0,C88-C89,0)</f>
        <v>0</v>
      </c>
      <c r="D90" s="170">
        <f t="shared" si="35"/>
        <v>0</v>
      </c>
      <c r="E90" s="170">
        <f t="shared" si="35"/>
        <v>0</v>
      </c>
      <c r="F90" s="170">
        <f t="shared" si="35"/>
        <v>0</v>
      </c>
      <c r="G90" s="170">
        <f t="shared" si="35"/>
        <v>0</v>
      </c>
      <c r="H90" s="170">
        <f t="shared" si="35"/>
        <v>0</v>
      </c>
      <c r="I90" s="170">
        <f t="shared" si="35"/>
        <v>0</v>
      </c>
      <c r="J90" s="170">
        <f t="shared" si="35"/>
        <v>0</v>
      </c>
      <c r="K90" s="170">
        <f t="shared" si="35"/>
        <v>0</v>
      </c>
      <c r="L90" s="170">
        <f t="shared" si="35"/>
        <v>0</v>
      </c>
      <c r="M90" s="170">
        <f t="shared" si="35"/>
        <v>0</v>
      </c>
      <c r="N90" s="170">
        <f t="shared" si="35"/>
        <v>0</v>
      </c>
      <c r="O90" s="170">
        <f t="shared" si="35"/>
        <v>0</v>
      </c>
      <c r="P90" s="170">
        <f t="shared" si="35"/>
        <v>0</v>
      </c>
      <c r="Q90" s="170">
        <f t="shared" si="35"/>
        <v>0</v>
      </c>
      <c r="R90" s="170">
        <f t="shared" si="35"/>
        <v>0</v>
      </c>
      <c r="S90" s="170">
        <f t="shared" si="35"/>
        <v>0</v>
      </c>
      <c r="T90" s="170">
        <f t="shared" si="35"/>
        <v>0</v>
      </c>
      <c r="U90" s="170">
        <f t="shared" si="35"/>
        <v>2.2388888888888889</v>
      </c>
      <c r="V90" s="170">
        <f t="shared" si="35"/>
        <v>1.6666666666666661</v>
      </c>
      <c r="W90" s="170">
        <f t="shared" si="35"/>
        <v>1.4523809523809526</v>
      </c>
      <c r="X90" s="170">
        <f t="shared" si="35"/>
        <v>-0.66666666666666607</v>
      </c>
      <c r="Y90" s="170">
        <f t="shared" si="35"/>
        <v>1.6333333333333329</v>
      </c>
      <c r="Z90" s="170">
        <f t="shared" si="35"/>
        <v>-0.96428571428571352</v>
      </c>
      <c r="AA90" s="170">
        <f t="shared" si="35"/>
        <v>-1.8499999999999996</v>
      </c>
      <c r="AB90" s="170">
        <f t="shared" si="35"/>
        <v>-0.65476190476190332</v>
      </c>
      <c r="AC90" s="167">
        <f>SUM(C90:AB90)</f>
        <v>2.8555555555555578</v>
      </c>
      <c r="AH90">
        <f>AF90/175</f>
        <v>0</v>
      </c>
    </row>
    <row r="91" spans="1:41" ht="27.75" customHeight="1" thickTop="1" thickBot="1" x14ac:dyDescent="0.45"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</row>
    <row r="92" spans="1:41" ht="27.75" customHeight="1" thickTop="1" thickBot="1" x14ac:dyDescent="0.45">
      <c r="B92" s="136"/>
      <c r="C92" s="137">
        <v>1.06</v>
      </c>
      <c r="D92" s="138">
        <v>2.06</v>
      </c>
      <c r="E92" s="138">
        <v>3.06</v>
      </c>
      <c r="F92" s="138">
        <v>4.0599999999999996</v>
      </c>
      <c r="G92" s="138">
        <v>5.0599999999999996</v>
      </c>
      <c r="H92" s="138">
        <v>6.06</v>
      </c>
      <c r="I92" s="138">
        <v>8.06</v>
      </c>
      <c r="J92" s="138">
        <v>9.06</v>
      </c>
      <c r="K92" s="138">
        <v>10.06</v>
      </c>
      <c r="L92" s="138">
        <v>11.06</v>
      </c>
      <c r="M92" s="138">
        <v>12.06</v>
      </c>
      <c r="N92" s="138">
        <v>13.06</v>
      </c>
      <c r="O92" s="138">
        <v>15.06</v>
      </c>
      <c r="P92" s="138">
        <v>16.059999999999999</v>
      </c>
      <c r="Q92" s="138">
        <v>17.059999999999999</v>
      </c>
      <c r="R92" s="138">
        <v>18.059999999999999</v>
      </c>
      <c r="S92" s="138">
        <v>19.059999999999999</v>
      </c>
      <c r="T92" s="138">
        <v>20.059999999999999</v>
      </c>
      <c r="U92" s="194">
        <v>22.06</v>
      </c>
      <c r="V92" s="138">
        <v>23.06</v>
      </c>
      <c r="W92" s="138">
        <v>24.06</v>
      </c>
      <c r="X92" s="141">
        <v>25.06</v>
      </c>
      <c r="Y92" s="142">
        <v>26.06</v>
      </c>
      <c r="Z92" s="142">
        <v>27.06</v>
      </c>
      <c r="AA92" s="142">
        <v>29.06</v>
      </c>
      <c r="AB92" s="142">
        <v>30.06</v>
      </c>
      <c r="AC92" s="144" t="s">
        <v>1</v>
      </c>
      <c r="AD92" s="145" t="s">
        <v>2</v>
      </c>
      <c r="AE92" s="146" t="s">
        <v>3</v>
      </c>
      <c r="AF92" s="147" t="s">
        <v>4</v>
      </c>
      <c r="AG92" s="147" t="s">
        <v>5</v>
      </c>
      <c r="AH92" s="145" t="s">
        <v>6</v>
      </c>
      <c r="AI92" s="145" t="s">
        <v>7</v>
      </c>
      <c r="AJ92" s="148" t="s">
        <v>8</v>
      </c>
      <c r="AK92" s="145" t="s">
        <v>9</v>
      </c>
      <c r="AL92" s="145" t="s">
        <v>10</v>
      </c>
      <c r="AM92" s="149" t="s">
        <v>11</v>
      </c>
      <c r="AN92" s="145" t="s">
        <v>12</v>
      </c>
      <c r="AO92" s="150" t="s">
        <v>13</v>
      </c>
    </row>
    <row r="93" spans="1:41" ht="48" customHeight="1" thickTop="1" thickBot="1" x14ac:dyDescent="0.65">
      <c r="A93" s="151"/>
      <c r="B93" s="152" t="s">
        <v>144</v>
      </c>
      <c r="C93" s="153"/>
      <c r="D93" s="153"/>
      <c r="E93" s="154"/>
      <c r="F93" s="153"/>
      <c r="G93" s="153"/>
      <c r="H93" s="153">
        <v>201.75</v>
      </c>
      <c r="I93" s="153">
        <v>188.5</v>
      </c>
      <c r="J93" s="153">
        <v>172.75</v>
      </c>
      <c r="K93" s="153">
        <f>131+17/6</f>
        <v>133.83333333333334</v>
      </c>
      <c r="L93" s="153">
        <f>168.5+38/6</f>
        <v>174.83333333333334</v>
      </c>
      <c r="M93" s="153">
        <v>205</v>
      </c>
      <c r="N93" s="153">
        <f>196.5+10/6</f>
        <v>198.16666666666666</v>
      </c>
      <c r="O93" s="153">
        <v>195.25</v>
      </c>
      <c r="P93" s="153">
        <v>171</v>
      </c>
      <c r="Q93" s="153">
        <v>186</v>
      </c>
      <c r="R93" s="153">
        <v>200.5</v>
      </c>
      <c r="S93" s="153">
        <v>197</v>
      </c>
      <c r="T93" s="153">
        <v>200.5</v>
      </c>
      <c r="U93" s="153">
        <f>205.25+5/6</f>
        <v>206.08333333333334</v>
      </c>
      <c r="V93" s="153">
        <v>197.5</v>
      </c>
      <c r="W93" s="153">
        <f>171.5+59/6</f>
        <v>181.33333333333334</v>
      </c>
      <c r="X93" s="153">
        <v>162.5</v>
      </c>
      <c r="Y93" s="153">
        <f>190+42/6</f>
        <v>197</v>
      </c>
      <c r="Z93" s="153">
        <v>147.5</v>
      </c>
      <c r="AA93" s="153">
        <v>144.75</v>
      </c>
      <c r="AB93" s="153">
        <f>149.5+14/6</f>
        <v>151.83333333333334</v>
      </c>
      <c r="AC93" s="157">
        <f>SUM(C93:AB93)</f>
        <v>3813.5833333333339</v>
      </c>
      <c r="AD93" s="158">
        <v>21</v>
      </c>
      <c r="AE93" s="158">
        <f>AD93*$AE$11</f>
        <v>3570</v>
      </c>
      <c r="AF93" s="158">
        <f>AC93-AE93</f>
        <v>243.58333333333394</v>
      </c>
      <c r="AG93" s="158">
        <v>21</v>
      </c>
      <c r="AH93" s="158">
        <f>AF93/175</f>
        <v>1.3919047619047653</v>
      </c>
      <c r="AI93" s="158">
        <f>AK93/AG93</f>
        <v>214.28571428571428</v>
      </c>
      <c r="AJ93" s="159">
        <f>AI93*AH93</f>
        <v>298.26530612244972</v>
      </c>
      <c r="AK93" s="158">
        <v>4500</v>
      </c>
      <c r="AL93" s="160">
        <f>AK93+AJ93</f>
        <v>4798.2653061224501</v>
      </c>
      <c r="AM93" s="152" t="s">
        <v>144</v>
      </c>
      <c r="AN93" s="161"/>
      <c r="AO93" s="161"/>
    </row>
    <row r="94" spans="1:41" ht="27.75" customHeight="1" thickTop="1" x14ac:dyDescent="0.4">
      <c r="A94" s="163"/>
      <c r="B94" s="136" t="s">
        <v>16</v>
      </c>
      <c r="C94" s="164">
        <v>14.8</v>
      </c>
      <c r="D94" s="164">
        <v>15</v>
      </c>
      <c r="E94" s="164">
        <v>14.8</v>
      </c>
      <c r="F94" s="164">
        <v>13.2</v>
      </c>
      <c r="G94" s="164">
        <v>15</v>
      </c>
      <c r="H94" s="164">
        <v>15</v>
      </c>
      <c r="I94" s="164">
        <v>14</v>
      </c>
      <c r="J94" s="164">
        <v>13.4</v>
      </c>
      <c r="K94" s="164">
        <v>14</v>
      </c>
      <c r="L94" s="164">
        <v>13</v>
      </c>
      <c r="M94" s="164">
        <v>15</v>
      </c>
      <c r="N94" s="164">
        <v>15</v>
      </c>
      <c r="O94" s="164">
        <v>14</v>
      </c>
      <c r="P94" s="164">
        <v>14.25</v>
      </c>
      <c r="Q94" s="164">
        <v>14.17</v>
      </c>
      <c r="R94" s="164">
        <v>15</v>
      </c>
      <c r="S94" s="164">
        <v>13</v>
      </c>
      <c r="T94" s="164">
        <v>16</v>
      </c>
      <c r="U94" s="164">
        <v>15</v>
      </c>
      <c r="V94" s="164">
        <v>15</v>
      </c>
      <c r="W94" s="164">
        <v>14</v>
      </c>
      <c r="X94" s="164">
        <v>15</v>
      </c>
      <c r="Y94" s="164">
        <v>15</v>
      </c>
      <c r="Z94" s="164">
        <v>14</v>
      </c>
      <c r="AA94" s="164">
        <v>15</v>
      </c>
      <c r="AB94" s="164">
        <v>14</v>
      </c>
    </row>
    <row r="95" spans="1:41" ht="27.75" customHeight="1" x14ac:dyDescent="0.4">
      <c r="A95" s="163"/>
      <c r="B95" s="136" t="s">
        <v>17</v>
      </c>
      <c r="C95" s="164">
        <f t="shared" ref="C95:AB95" si="36">IF(C94&gt;0,C93/C94,0)</f>
        <v>0</v>
      </c>
      <c r="D95" s="164">
        <f t="shared" si="36"/>
        <v>0</v>
      </c>
      <c r="E95" s="164">
        <f t="shared" si="36"/>
        <v>0</v>
      </c>
      <c r="F95" s="164">
        <f t="shared" si="36"/>
        <v>0</v>
      </c>
      <c r="G95" s="164">
        <f t="shared" si="36"/>
        <v>0</v>
      </c>
      <c r="H95" s="164">
        <f t="shared" si="36"/>
        <v>13.45</v>
      </c>
      <c r="I95" s="164">
        <f t="shared" si="36"/>
        <v>13.464285714285714</v>
      </c>
      <c r="J95" s="164">
        <f t="shared" si="36"/>
        <v>12.891791044776118</v>
      </c>
      <c r="K95" s="164">
        <f t="shared" si="36"/>
        <v>9.5595238095238102</v>
      </c>
      <c r="L95" s="164">
        <f t="shared" si="36"/>
        <v>13.448717948717949</v>
      </c>
      <c r="M95" s="164">
        <f t="shared" si="36"/>
        <v>13.666666666666666</v>
      </c>
      <c r="N95" s="164">
        <f t="shared" si="36"/>
        <v>13.21111111111111</v>
      </c>
      <c r="O95" s="164">
        <f t="shared" si="36"/>
        <v>13.946428571428571</v>
      </c>
      <c r="P95" s="164">
        <f t="shared" si="36"/>
        <v>12</v>
      </c>
      <c r="Q95" s="164">
        <f t="shared" si="36"/>
        <v>13.126323218066338</v>
      </c>
      <c r="R95" s="164">
        <f t="shared" si="36"/>
        <v>13.366666666666667</v>
      </c>
      <c r="S95" s="164">
        <f t="shared" si="36"/>
        <v>15.153846153846153</v>
      </c>
      <c r="T95" s="164">
        <f t="shared" si="36"/>
        <v>12.53125</v>
      </c>
      <c r="U95" s="164">
        <f t="shared" si="36"/>
        <v>13.738888888888889</v>
      </c>
      <c r="V95" s="164">
        <f t="shared" si="36"/>
        <v>13.166666666666666</v>
      </c>
      <c r="W95" s="164">
        <f t="shared" si="36"/>
        <v>12.952380952380953</v>
      </c>
      <c r="X95" s="164">
        <f t="shared" si="36"/>
        <v>10.833333333333334</v>
      </c>
      <c r="Y95" s="164">
        <f t="shared" si="36"/>
        <v>13.133333333333333</v>
      </c>
      <c r="Z95" s="164">
        <f t="shared" si="36"/>
        <v>10.535714285714286</v>
      </c>
      <c r="AA95" s="164">
        <f t="shared" si="36"/>
        <v>9.65</v>
      </c>
      <c r="AB95" s="164">
        <f t="shared" si="36"/>
        <v>10.845238095238097</v>
      </c>
      <c r="AC95" s="167">
        <f>SUM(C95:AB95)</f>
        <v>264.67216646064463</v>
      </c>
      <c r="AE95" s="136" t="s">
        <v>18</v>
      </c>
      <c r="AG95" s="136">
        <f>AI93/11.5</f>
        <v>18.633540372670808</v>
      </c>
    </row>
    <row r="96" spans="1:41" ht="27.75" customHeight="1" x14ac:dyDescent="0.4">
      <c r="A96" s="163"/>
      <c r="B96" s="136" t="s">
        <v>19</v>
      </c>
      <c r="C96" s="184"/>
      <c r="D96" s="164"/>
      <c r="E96" s="184"/>
      <c r="F96" s="184"/>
      <c r="G96" s="184"/>
      <c r="H96" s="184">
        <f t="shared" ref="H96:AB96" si="37">IF(H94&gt;0,11.5,0)</f>
        <v>11.5</v>
      </c>
      <c r="I96" s="184">
        <f t="shared" si="37"/>
        <v>11.5</v>
      </c>
      <c r="J96" s="164">
        <f t="shared" si="37"/>
        <v>11.5</v>
      </c>
      <c r="K96" s="184">
        <f t="shared" si="37"/>
        <v>11.5</v>
      </c>
      <c r="L96" s="184">
        <f t="shared" si="37"/>
        <v>11.5</v>
      </c>
      <c r="M96" s="184">
        <f t="shared" si="37"/>
        <v>11.5</v>
      </c>
      <c r="N96" s="184">
        <f t="shared" si="37"/>
        <v>11.5</v>
      </c>
      <c r="O96" s="184">
        <f t="shared" si="37"/>
        <v>11.5</v>
      </c>
      <c r="P96" s="164">
        <f t="shared" si="37"/>
        <v>11.5</v>
      </c>
      <c r="Q96" s="164">
        <f t="shared" si="37"/>
        <v>11.5</v>
      </c>
      <c r="R96" s="184">
        <f t="shared" si="37"/>
        <v>11.5</v>
      </c>
      <c r="S96" s="184">
        <f t="shared" si="37"/>
        <v>11.5</v>
      </c>
      <c r="T96" s="184">
        <f t="shared" si="37"/>
        <v>11.5</v>
      </c>
      <c r="U96" s="164">
        <f t="shared" si="37"/>
        <v>11.5</v>
      </c>
      <c r="V96" s="184">
        <f t="shared" si="37"/>
        <v>11.5</v>
      </c>
      <c r="W96" s="184">
        <f t="shared" si="37"/>
        <v>11.5</v>
      </c>
      <c r="X96" s="184">
        <f t="shared" si="37"/>
        <v>11.5</v>
      </c>
      <c r="Y96" s="184">
        <f t="shared" si="37"/>
        <v>11.5</v>
      </c>
      <c r="Z96" s="184">
        <f t="shared" si="37"/>
        <v>11.5</v>
      </c>
      <c r="AA96" s="184">
        <f t="shared" si="37"/>
        <v>11.5</v>
      </c>
      <c r="AB96" s="184">
        <f t="shared" si="37"/>
        <v>11.5</v>
      </c>
      <c r="AC96" s="167">
        <f>SUM(C96:AB96)</f>
        <v>241.5</v>
      </c>
      <c r="AE96" s="136" t="s">
        <v>20</v>
      </c>
      <c r="AG96" s="136">
        <f>AC97*AG95</f>
        <v>431.77949926667043</v>
      </c>
    </row>
    <row r="97" spans="1:41" ht="27.75" customHeight="1" thickBot="1" x14ac:dyDescent="0.45">
      <c r="A97" s="168"/>
      <c r="B97" s="169" t="s">
        <v>21</v>
      </c>
      <c r="C97" s="170">
        <f t="shared" ref="C97:AB97" si="38">IF(C94&gt;0,C95-C96,0)</f>
        <v>0</v>
      </c>
      <c r="D97" s="170">
        <f t="shared" si="38"/>
        <v>0</v>
      </c>
      <c r="E97" s="170">
        <f t="shared" si="38"/>
        <v>0</v>
      </c>
      <c r="F97" s="170">
        <f t="shared" si="38"/>
        <v>0</v>
      </c>
      <c r="G97" s="170">
        <f t="shared" si="38"/>
        <v>0</v>
      </c>
      <c r="H97" s="170">
        <f t="shared" si="38"/>
        <v>1.9499999999999993</v>
      </c>
      <c r="I97" s="170">
        <f t="shared" si="38"/>
        <v>1.9642857142857135</v>
      </c>
      <c r="J97" s="170">
        <f t="shared" si="38"/>
        <v>1.3917910447761184</v>
      </c>
      <c r="K97" s="170">
        <f t="shared" si="38"/>
        <v>-1.9404761904761898</v>
      </c>
      <c r="L97" s="170">
        <f t="shared" si="38"/>
        <v>1.9487179487179489</v>
      </c>
      <c r="M97" s="170">
        <f t="shared" si="38"/>
        <v>2.1666666666666661</v>
      </c>
      <c r="N97" s="170">
        <f t="shared" si="38"/>
        <v>1.7111111111111104</v>
      </c>
      <c r="O97" s="170">
        <f t="shared" si="38"/>
        <v>2.4464285714285712</v>
      </c>
      <c r="P97" s="170">
        <f t="shared" si="38"/>
        <v>0.5</v>
      </c>
      <c r="Q97" s="170">
        <f t="shared" si="38"/>
        <v>1.6263232180663376</v>
      </c>
      <c r="R97" s="170">
        <f t="shared" si="38"/>
        <v>1.8666666666666671</v>
      </c>
      <c r="S97" s="170">
        <f t="shared" si="38"/>
        <v>3.6538461538461533</v>
      </c>
      <c r="T97" s="170">
        <f t="shared" si="38"/>
        <v>1.03125</v>
      </c>
      <c r="U97" s="170">
        <f t="shared" si="38"/>
        <v>2.2388888888888889</v>
      </c>
      <c r="V97" s="170">
        <f t="shared" si="38"/>
        <v>1.6666666666666661</v>
      </c>
      <c r="W97" s="170">
        <f t="shared" si="38"/>
        <v>1.4523809523809526</v>
      </c>
      <c r="X97" s="170">
        <f t="shared" si="38"/>
        <v>-0.66666666666666607</v>
      </c>
      <c r="Y97" s="170">
        <f t="shared" si="38"/>
        <v>1.6333333333333329</v>
      </c>
      <c r="Z97" s="170">
        <f t="shared" si="38"/>
        <v>-0.96428571428571352</v>
      </c>
      <c r="AA97" s="170">
        <f t="shared" si="38"/>
        <v>-1.8499999999999996</v>
      </c>
      <c r="AB97" s="170">
        <f t="shared" si="38"/>
        <v>-0.65476190476190332</v>
      </c>
      <c r="AC97" s="167">
        <f>SUM(C97:AB97)</f>
        <v>23.172166460644647</v>
      </c>
      <c r="AH97">
        <f>AF97/175</f>
        <v>0</v>
      </c>
    </row>
    <row r="98" spans="1:41" ht="27.75" customHeight="1" thickTop="1" thickBot="1" x14ac:dyDescent="0.45">
      <c r="B98" s="136" t="s">
        <v>38</v>
      </c>
      <c r="C98" s="174">
        <v>1.06</v>
      </c>
      <c r="D98" s="138">
        <v>2.06</v>
      </c>
      <c r="E98" s="138">
        <v>3.06</v>
      </c>
      <c r="F98" s="138">
        <v>4.0599999999999996</v>
      </c>
      <c r="G98" s="138">
        <v>5.0599999999999996</v>
      </c>
      <c r="H98" s="138">
        <v>6.06</v>
      </c>
      <c r="I98" s="138">
        <v>8.06</v>
      </c>
      <c r="J98" s="139">
        <v>9.06</v>
      </c>
      <c r="K98" s="138">
        <v>10.06</v>
      </c>
      <c r="L98" s="138">
        <v>11.06</v>
      </c>
      <c r="M98" s="138">
        <v>12.06</v>
      </c>
      <c r="N98" s="138">
        <v>13.06</v>
      </c>
      <c r="O98" s="138">
        <v>15.06</v>
      </c>
      <c r="P98" s="138">
        <v>16.059999999999999</v>
      </c>
      <c r="Q98" s="138">
        <v>17.059999999999999</v>
      </c>
      <c r="R98" s="138">
        <v>18.059999999999999</v>
      </c>
      <c r="S98" s="138">
        <v>19.059999999999999</v>
      </c>
      <c r="T98" s="138">
        <v>20.059999999999999</v>
      </c>
      <c r="U98" s="138">
        <v>22.06</v>
      </c>
      <c r="V98" s="138">
        <v>23.06</v>
      </c>
      <c r="W98" s="140">
        <v>24.06</v>
      </c>
      <c r="X98" s="141">
        <v>25.06</v>
      </c>
      <c r="Y98" s="142">
        <v>26.06</v>
      </c>
      <c r="Z98" s="142">
        <v>27.06</v>
      </c>
      <c r="AA98" s="142">
        <v>29.06</v>
      </c>
      <c r="AB98" s="142">
        <v>30.06</v>
      </c>
      <c r="AC98" s="144" t="s">
        <v>1</v>
      </c>
      <c r="AD98" s="145" t="s">
        <v>2</v>
      </c>
      <c r="AE98" s="146" t="s">
        <v>3</v>
      </c>
      <c r="AF98" s="147" t="s">
        <v>4</v>
      </c>
      <c r="AG98" s="147" t="s">
        <v>5</v>
      </c>
      <c r="AH98" s="145" t="s">
        <v>6</v>
      </c>
      <c r="AI98" s="145" t="s">
        <v>7</v>
      </c>
      <c r="AJ98" s="148" t="s">
        <v>8</v>
      </c>
      <c r="AK98" s="145" t="s">
        <v>9</v>
      </c>
      <c r="AL98" s="145" t="s">
        <v>10</v>
      </c>
      <c r="AM98" s="149" t="s">
        <v>11</v>
      </c>
      <c r="AN98" s="145" t="s">
        <v>12</v>
      </c>
      <c r="AO98" s="150" t="s">
        <v>13</v>
      </c>
    </row>
    <row r="99" spans="1:41" ht="39.75" customHeight="1" x14ac:dyDescent="0.6">
      <c r="A99" s="151">
        <v>9</v>
      </c>
      <c r="B99" s="152" t="s">
        <v>39</v>
      </c>
      <c r="C99" s="156">
        <v>0</v>
      </c>
      <c r="D99" s="153">
        <v>163.75</v>
      </c>
      <c r="E99" s="154">
        <v>197</v>
      </c>
      <c r="F99" s="153">
        <f>177.75+8/6</f>
        <v>179.08333333333334</v>
      </c>
      <c r="G99" s="153">
        <f>136.75+38/6</f>
        <v>143.08333333333334</v>
      </c>
      <c r="H99" s="153">
        <v>201.75</v>
      </c>
      <c r="I99" s="153">
        <v>188.5</v>
      </c>
      <c r="J99" s="155">
        <v>83</v>
      </c>
      <c r="K99" s="153">
        <f>131+17/6</f>
        <v>133.83333333333334</v>
      </c>
      <c r="L99" s="153">
        <f>168.5+38/6</f>
        <v>174.83333333333334</v>
      </c>
      <c r="M99" s="153">
        <v>205</v>
      </c>
      <c r="N99" s="153">
        <f>196.5+10/6</f>
        <v>198.16666666666666</v>
      </c>
      <c r="O99" s="153">
        <v>195.25</v>
      </c>
      <c r="P99" s="153">
        <v>171</v>
      </c>
      <c r="Q99" s="153">
        <v>186</v>
      </c>
      <c r="R99" s="153">
        <v>200.5</v>
      </c>
      <c r="S99" s="153">
        <v>197</v>
      </c>
      <c r="T99" s="153">
        <v>200.5</v>
      </c>
      <c r="U99" s="153">
        <f>205.25+5/6</f>
        <v>206.08333333333334</v>
      </c>
      <c r="V99" s="153">
        <v>197.5</v>
      </c>
      <c r="W99" s="156">
        <v>0</v>
      </c>
      <c r="X99" s="153">
        <v>162.5</v>
      </c>
      <c r="Y99" s="153">
        <f>190+42/6</f>
        <v>197</v>
      </c>
      <c r="Z99" s="153">
        <v>147.5</v>
      </c>
      <c r="AA99" s="153">
        <v>144.75</v>
      </c>
      <c r="AB99" s="153">
        <f>149.5+14/6</f>
        <v>151.83333333333334</v>
      </c>
      <c r="AC99" s="157">
        <f>SUM(C99:AB99)</f>
        <v>4225.416666666667</v>
      </c>
      <c r="AD99" s="158">
        <f>COUNTIF(C100:AB100,"&gt;0")</f>
        <v>24</v>
      </c>
      <c r="AE99" s="158">
        <f>AD99*$AE$11</f>
        <v>4080</v>
      </c>
      <c r="AF99" s="158">
        <f>AC99-AE99</f>
        <v>145.41666666666697</v>
      </c>
      <c r="AG99" s="158">
        <f>$AG$11</f>
        <v>26</v>
      </c>
      <c r="AH99" s="158">
        <f>AF99/175</f>
        <v>0.83095238095238266</v>
      </c>
      <c r="AI99" s="158">
        <f>AK99/AG99</f>
        <v>346.15384615384613</v>
      </c>
      <c r="AJ99" s="159">
        <f>AI99*AH99</f>
        <v>287.6373626373632</v>
      </c>
      <c r="AK99" s="158">
        <v>9000</v>
      </c>
      <c r="AL99" s="160">
        <f>AK99+AJ99</f>
        <v>9287.6373626373625</v>
      </c>
      <c r="AM99" s="152" t="s">
        <v>39</v>
      </c>
      <c r="AN99" s="190"/>
      <c r="AO99" s="191" t="s">
        <v>40</v>
      </c>
    </row>
    <row r="100" spans="1:41" ht="27.75" customHeight="1" x14ac:dyDescent="0.4">
      <c r="A100" s="163"/>
      <c r="B100" s="136" t="s">
        <v>16</v>
      </c>
      <c r="C100" s="166">
        <v>0</v>
      </c>
      <c r="D100" s="164">
        <v>15</v>
      </c>
      <c r="E100" s="164">
        <v>14.8</v>
      </c>
      <c r="F100" s="164">
        <v>13.2</v>
      </c>
      <c r="G100" s="164">
        <v>15</v>
      </c>
      <c r="H100" s="164">
        <v>15</v>
      </c>
      <c r="I100" s="164">
        <v>14</v>
      </c>
      <c r="J100" s="165">
        <v>13.4</v>
      </c>
      <c r="K100" s="164">
        <v>14</v>
      </c>
      <c r="L100" s="164">
        <v>13</v>
      </c>
      <c r="M100" s="164">
        <v>15</v>
      </c>
      <c r="N100" s="164">
        <v>15</v>
      </c>
      <c r="O100" s="164">
        <v>14</v>
      </c>
      <c r="P100" s="164">
        <v>14.25</v>
      </c>
      <c r="Q100" s="164">
        <v>14.17</v>
      </c>
      <c r="R100" s="164">
        <v>15</v>
      </c>
      <c r="S100" s="164">
        <v>13</v>
      </c>
      <c r="T100" s="164">
        <v>16</v>
      </c>
      <c r="U100" s="164">
        <v>15</v>
      </c>
      <c r="V100" s="164">
        <v>15</v>
      </c>
      <c r="W100" s="166">
        <v>0</v>
      </c>
      <c r="X100" s="164">
        <v>15</v>
      </c>
      <c r="Y100" s="164">
        <v>15</v>
      </c>
      <c r="Z100" s="164">
        <v>14</v>
      </c>
      <c r="AA100" s="164">
        <v>15</v>
      </c>
      <c r="AB100" s="164">
        <v>14</v>
      </c>
    </row>
    <row r="101" spans="1:41" ht="27.75" customHeight="1" x14ac:dyDescent="0.4">
      <c r="A101" s="163"/>
      <c r="B101" s="136" t="s">
        <v>17</v>
      </c>
      <c r="C101" s="166">
        <f t="shared" ref="C101:AB101" si="39">IF(C100&gt;0,C99/C100,0)</f>
        <v>0</v>
      </c>
      <c r="D101" s="164">
        <f t="shared" si="39"/>
        <v>10.916666666666666</v>
      </c>
      <c r="E101" s="164">
        <f t="shared" si="39"/>
        <v>13.310810810810811</v>
      </c>
      <c r="F101" s="164">
        <f t="shared" si="39"/>
        <v>13.566919191919194</v>
      </c>
      <c r="G101" s="164">
        <f t="shared" si="39"/>
        <v>9.5388888888888896</v>
      </c>
      <c r="H101" s="164">
        <f t="shared" si="39"/>
        <v>13.45</v>
      </c>
      <c r="I101" s="164">
        <f t="shared" si="39"/>
        <v>13.464285714285714</v>
      </c>
      <c r="J101" s="165">
        <f t="shared" si="39"/>
        <v>6.1940298507462686</v>
      </c>
      <c r="K101" s="164">
        <f t="shared" si="39"/>
        <v>9.5595238095238102</v>
      </c>
      <c r="L101" s="164">
        <f t="shared" si="39"/>
        <v>13.448717948717949</v>
      </c>
      <c r="M101" s="164">
        <f t="shared" si="39"/>
        <v>13.666666666666666</v>
      </c>
      <c r="N101" s="164">
        <f t="shared" si="39"/>
        <v>13.21111111111111</v>
      </c>
      <c r="O101" s="164">
        <f t="shared" si="39"/>
        <v>13.946428571428571</v>
      </c>
      <c r="P101" s="164">
        <f t="shared" si="39"/>
        <v>12</v>
      </c>
      <c r="Q101" s="164">
        <f t="shared" si="39"/>
        <v>13.126323218066338</v>
      </c>
      <c r="R101" s="164">
        <f t="shared" si="39"/>
        <v>13.366666666666667</v>
      </c>
      <c r="S101" s="164">
        <f t="shared" si="39"/>
        <v>15.153846153846153</v>
      </c>
      <c r="T101" s="164">
        <f t="shared" si="39"/>
        <v>12.53125</v>
      </c>
      <c r="U101" s="164">
        <f t="shared" si="39"/>
        <v>13.738888888888889</v>
      </c>
      <c r="V101" s="164">
        <f t="shared" si="39"/>
        <v>13.166666666666666</v>
      </c>
      <c r="W101" s="166">
        <f t="shared" si="39"/>
        <v>0</v>
      </c>
      <c r="X101" s="164">
        <f t="shared" si="39"/>
        <v>10.833333333333334</v>
      </c>
      <c r="Y101" s="164">
        <f t="shared" si="39"/>
        <v>13.133333333333333</v>
      </c>
      <c r="Z101" s="164">
        <f t="shared" si="39"/>
        <v>10.535714285714286</v>
      </c>
      <c r="AA101" s="164">
        <f t="shared" si="39"/>
        <v>9.65</v>
      </c>
      <c r="AB101" s="164">
        <f t="shared" si="39"/>
        <v>10.845238095238097</v>
      </c>
      <c r="AC101" s="167">
        <f>SUM(C101:AB101)</f>
        <v>292.3553098725194</v>
      </c>
      <c r="AE101" s="136" t="s">
        <v>18</v>
      </c>
      <c r="AG101" s="136">
        <f>AI99/11.5</f>
        <v>30.100334448160535</v>
      </c>
    </row>
    <row r="102" spans="1:41" ht="27.75" customHeight="1" x14ac:dyDescent="0.4">
      <c r="A102" s="163"/>
      <c r="B102" s="136" t="s">
        <v>19</v>
      </c>
      <c r="C102" s="166">
        <f t="shared" ref="C102:AB102" si="40">IF(C100&gt;0,11.5,0)</f>
        <v>0</v>
      </c>
      <c r="D102" s="164">
        <f t="shared" si="40"/>
        <v>11.5</v>
      </c>
      <c r="E102" s="164">
        <f t="shared" si="40"/>
        <v>11.5</v>
      </c>
      <c r="F102" s="164">
        <f t="shared" si="40"/>
        <v>11.5</v>
      </c>
      <c r="G102" s="164">
        <f t="shared" si="40"/>
        <v>11.5</v>
      </c>
      <c r="H102" s="164">
        <f t="shared" si="40"/>
        <v>11.5</v>
      </c>
      <c r="I102" s="164">
        <f t="shared" si="40"/>
        <v>11.5</v>
      </c>
      <c r="J102" s="165">
        <f t="shared" si="40"/>
        <v>11.5</v>
      </c>
      <c r="K102" s="164">
        <f t="shared" si="40"/>
        <v>11.5</v>
      </c>
      <c r="L102" s="164">
        <f t="shared" si="40"/>
        <v>11.5</v>
      </c>
      <c r="M102" s="164">
        <f t="shared" si="40"/>
        <v>11.5</v>
      </c>
      <c r="N102" s="164">
        <f t="shared" si="40"/>
        <v>11.5</v>
      </c>
      <c r="O102" s="164">
        <f t="shared" si="40"/>
        <v>11.5</v>
      </c>
      <c r="P102" s="164">
        <f t="shared" si="40"/>
        <v>11.5</v>
      </c>
      <c r="Q102" s="164">
        <f t="shared" si="40"/>
        <v>11.5</v>
      </c>
      <c r="R102" s="164">
        <f t="shared" si="40"/>
        <v>11.5</v>
      </c>
      <c r="S102" s="164">
        <f t="shared" si="40"/>
        <v>11.5</v>
      </c>
      <c r="T102" s="164">
        <f t="shared" si="40"/>
        <v>11.5</v>
      </c>
      <c r="U102" s="164">
        <f t="shared" si="40"/>
        <v>11.5</v>
      </c>
      <c r="V102" s="164">
        <f t="shared" si="40"/>
        <v>11.5</v>
      </c>
      <c r="W102" s="166">
        <f t="shared" si="40"/>
        <v>0</v>
      </c>
      <c r="X102" s="164">
        <f t="shared" si="40"/>
        <v>11.5</v>
      </c>
      <c r="Y102" s="164">
        <f t="shared" si="40"/>
        <v>11.5</v>
      </c>
      <c r="Z102" s="164">
        <f t="shared" si="40"/>
        <v>11.5</v>
      </c>
      <c r="AA102" s="164">
        <f t="shared" si="40"/>
        <v>11.5</v>
      </c>
      <c r="AB102" s="164">
        <f t="shared" si="40"/>
        <v>11.5</v>
      </c>
      <c r="AC102" s="167">
        <f>SUM(C102:AB102)</f>
        <v>276</v>
      </c>
      <c r="AE102" s="136" t="s">
        <v>20</v>
      </c>
      <c r="AG102" s="136">
        <f>AC103*AG101</f>
        <v>492.30029716613598</v>
      </c>
    </row>
    <row r="103" spans="1:41" ht="27.75" customHeight="1" x14ac:dyDescent="0.4">
      <c r="A103" s="168"/>
      <c r="B103" s="169" t="s">
        <v>21</v>
      </c>
      <c r="C103" s="172">
        <f t="shared" ref="C103:AB103" si="41">IF(C100&gt;0,C101-C102,0)</f>
        <v>0</v>
      </c>
      <c r="D103" s="170">
        <f t="shared" si="41"/>
        <v>-0.58333333333333393</v>
      </c>
      <c r="E103" s="170">
        <f t="shared" si="41"/>
        <v>1.8108108108108105</v>
      </c>
      <c r="F103" s="170">
        <f t="shared" si="41"/>
        <v>2.0669191919191938</v>
      </c>
      <c r="G103" s="170">
        <f t="shared" si="41"/>
        <v>-1.9611111111111104</v>
      </c>
      <c r="H103" s="170">
        <f t="shared" si="41"/>
        <v>1.9499999999999993</v>
      </c>
      <c r="I103" s="170">
        <f t="shared" si="41"/>
        <v>1.9642857142857135</v>
      </c>
      <c r="J103" s="171">
        <f t="shared" si="41"/>
        <v>-5.3059701492537314</v>
      </c>
      <c r="K103" s="170">
        <f t="shared" si="41"/>
        <v>-1.9404761904761898</v>
      </c>
      <c r="L103" s="170">
        <f t="shared" si="41"/>
        <v>1.9487179487179489</v>
      </c>
      <c r="M103" s="170">
        <f t="shared" si="41"/>
        <v>2.1666666666666661</v>
      </c>
      <c r="N103" s="170">
        <f t="shared" si="41"/>
        <v>1.7111111111111104</v>
      </c>
      <c r="O103" s="170">
        <f t="shared" si="41"/>
        <v>2.4464285714285712</v>
      </c>
      <c r="P103" s="170">
        <f t="shared" si="41"/>
        <v>0.5</v>
      </c>
      <c r="Q103" s="170">
        <f t="shared" si="41"/>
        <v>1.6263232180663376</v>
      </c>
      <c r="R103" s="170">
        <f t="shared" si="41"/>
        <v>1.8666666666666671</v>
      </c>
      <c r="S103" s="170">
        <f t="shared" si="41"/>
        <v>3.6538461538461533</v>
      </c>
      <c r="T103" s="170">
        <f t="shared" si="41"/>
        <v>1.03125</v>
      </c>
      <c r="U103" s="170">
        <f t="shared" si="41"/>
        <v>2.2388888888888889</v>
      </c>
      <c r="V103" s="170">
        <f t="shared" si="41"/>
        <v>1.6666666666666661</v>
      </c>
      <c r="W103" s="172">
        <f t="shared" si="41"/>
        <v>0</v>
      </c>
      <c r="X103" s="170">
        <f t="shared" si="41"/>
        <v>-0.66666666666666607</v>
      </c>
      <c r="Y103" s="170">
        <f t="shared" si="41"/>
        <v>1.6333333333333329</v>
      </c>
      <c r="Z103" s="170">
        <f t="shared" si="41"/>
        <v>-0.96428571428571352</v>
      </c>
      <c r="AA103" s="170">
        <f t="shared" si="41"/>
        <v>-1.8499999999999996</v>
      </c>
      <c r="AB103" s="170">
        <f t="shared" si="41"/>
        <v>-0.65476190476190332</v>
      </c>
      <c r="AC103" s="167">
        <f>SUM(C103:AB103)</f>
        <v>16.355309872519406</v>
      </c>
      <c r="AH103">
        <f>AF103/175</f>
        <v>0</v>
      </c>
    </row>
    <row r="104" spans="1:41" ht="27.75" customHeight="1" x14ac:dyDescent="0.4"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</row>
    <row r="105" spans="1:41" ht="27.75" customHeight="1" x14ac:dyDescent="0.3"/>
    <row r="106" spans="1:41" ht="30.75" customHeight="1" x14ac:dyDescent="0.4">
      <c r="B106" s="136" t="s">
        <v>41</v>
      </c>
      <c r="C106" s="137">
        <v>1.06</v>
      </c>
      <c r="D106" s="138">
        <v>2.06</v>
      </c>
      <c r="E106" s="138">
        <v>3.06</v>
      </c>
      <c r="F106" s="139">
        <v>4.0599999999999996</v>
      </c>
      <c r="G106" s="196">
        <v>5.0599999999999996</v>
      </c>
      <c r="H106" s="196">
        <v>6.06</v>
      </c>
      <c r="I106" s="138">
        <v>8.06</v>
      </c>
      <c r="J106" s="138">
        <v>9.06</v>
      </c>
      <c r="K106" s="138">
        <v>10.06</v>
      </c>
      <c r="L106" s="138">
        <v>11.06</v>
      </c>
      <c r="M106" s="138">
        <v>12.06</v>
      </c>
      <c r="N106" s="138">
        <v>13.06</v>
      </c>
      <c r="O106" s="138">
        <v>15.06</v>
      </c>
      <c r="P106" s="138">
        <v>16.059999999999999</v>
      </c>
      <c r="Q106" s="138">
        <v>17.059999999999999</v>
      </c>
      <c r="R106" s="138">
        <v>18.059999999999999</v>
      </c>
      <c r="S106" s="138">
        <v>19.059999999999999</v>
      </c>
      <c r="T106" s="140">
        <v>20.059999999999999</v>
      </c>
      <c r="U106" s="138">
        <v>22.06</v>
      </c>
      <c r="V106" s="138">
        <v>23.06</v>
      </c>
      <c r="W106" s="138">
        <v>24.06</v>
      </c>
      <c r="X106" s="141">
        <v>25.06</v>
      </c>
      <c r="Y106" s="142">
        <v>26.06</v>
      </c>
      <c r="Z106" s="142">
        <v>27.06</v>
      </c>
      <c r="AA106" s="142">
        <v>29.06</v>
      </c>
      <c r="AB106" s="142">
        <v>30.06</v>
      </c>
      <c r="AC106" s="144" t="s">
        <v>1</v>
      </c>
      <c r="AD106" s="145" t="s">
        <v>2</v>
      </c>
      <c r="AE106" s="146" t="s">
        <v>3</v>
      </c>
      <c r="AF106" s="147" t="s">
        <v>4</v>
      </c>
      <c r="AG106" s="147" t="s">
        <v>5</v>
      </c>
      <c r="AH106" s="145" t="s">
        <v>6</v>
      </c>
      <c r="AI106" s="145" t="s">
        <v>7</v>
      </c>
      <c r="AJ106" s="148" t="s">
        <v>8</v>
      </c>
      <c r="AK106" s="145" t="s">
        <v>9</v>
      </c>
      <c r="AL106" s="145" t="s">
        <v>10</v>
      </c>
      <c r="AM106" s="149" t="s">
        <v>11</v>
      </c>
      <c r="AN106" s="145" t="s">
        <v>12</v>
      </c>
      <c r="AO106" s="150" t="s">
        <v>13</v>
      </c>
    </row>
    <row r="107" spans="1:41" ht="39.75" customHeight="1" x14ac:dyDescent="0.6">
      <c r="A107" s="151">
        <v>10</v>
      </c>
      <c r="B107" s="152" t="s">
        <v>42</v>
      </c>
      <c r="C107" s="153">
        <v>200</v>
      </c>
      <c r="D107" s="153">
        <v>163.75</v>
      </c>
      <c r="E107" s="154">
        <v>197</v>
      </c>
      <c r="F107" s="155">
        <f>177.75+8/6</f>
        <v>179.08333333333334</v>
      </c>
      <c r="G107" s="195">
        <v>0</v>
      </c>
      <c r="H107" s="195">
        <v>0</v>
      </c>
      <c r="I107" s="153">
        <v>188.5</v>
      </c>
      <c r="J107" s="153">
        <v>172.75</v>
      </c>
      <c r="K107" s="153">
        <f>131+17/6</f>
        <v>133.83333333333334</v>
      </c>
      <c r="L107" s="153">
        <f>168.5+38/6</f>
        <v>174.83333333333334</v>
      </c>
      <c r="M107" s="153">
        <v>205</v>
      </c>
      <c r="N107" s="153">
        <f>196.5+10/6</f>
        <v>198.16666666666666</v>
      </c>
      <c r="O107" s="153">
        <v>195.25</v>
      </c>
      <c r="P107" s="153">
        <v>171</v>
      </c>
      <c r="Q107" s="153">
        <v>186</v>
      </c>
      <c r="R107" s="153">
        <v>200.5</v>
      </c>
      <c r="S107" s="153">
        <v>197</v>
      </c>
      <c r="T107" s="156">
        <v>0</v>
      </c>
      <c r="U107" s="153">
        <f>205.25+5/6</f>
        <v>206.08333333333334</v>
      </c>
      <c r="V107" s="153">
        <v>197.5</v>
      </c>
      <c r="W107" s="153">
        <f>171.5+59/6</f>
        <v>181.33333333333334</v>
      </c>
      <c r="X107" s="153">
        <v>162.5</v>
      </c>
      <c r="Y107" s="153">
        <f>190+42/6</f>
        <v>197</v>
      </c>
      <c r="Z107" s="153">
        <v>147.5</v>
      </c>
      <c r="AA107" s="153">
        <v>144.75</v>
      </c>
      <c r="AB107" s="153">
        <f>149.5+14/6</f>
        <v>151.83333333333334</v>
      </c>
      <c r="AC107" s="157">
        <f>SUM(C107:AB107)</f>
        <v>4151.166666666667</v>
      </c>
      <c r="AD107" s="158">
        <v>23</v>
      </c>
      <c r="AE107" s="158">
        <f>AD107*$AE$11</f>
        <v>3910</v>
      </c>
      <c r="AF107" s="158">
        <f>AC107-AE107</f>
        <v>241.16666666666697</v>
      </c>
      <c r="AG107" s="158">
        <f>$AG$11</f>
        <v>26</v>
      </c>
      <c r="AH107" s="158">
        <f>AF107/175</f>
        <v>1.3780952380952398</v>
      </c>
      <c r="AI107" s="158">
        <f>AK107/AG107</f>
        <v>288.46153846153845</v>
      </c>
      <c r="AJ107" s="159">
        <f>AI107*AH107</f>
        <v>397.52747252747304</v>
      </c>
      <c r="AK107" s="158">
        <v>7500</v>
      </c>
      <c r="AL107" s="160">
        <f>AK107+AJ107</f>
        <v>7897.527472527473</v>
      </c>
      <c r="AM107" s="152" t="s">
        <v>42</v>
      </c>
      <c r="AN107" s="178"/>
      <c r="AO107" s="179" t="s">
        <v>43</v>
      </c>
    </row>
    <row r="108" spans="1:41" ht="27.75" customHeight="1" x14ac:dyDescent="0.4">
      <c r="A108" s="163"/>
      <c r="B108" s="136" t="s">
        <v>16</v>
      </c>
      <c r="C108" s="164">
        <v>14.8</v>
      </c>
      <c r="D108" s="164">
        <v>15</v>
      </c>
      <c r="E108" s="164">
        <v>14.8</v>
      </c>
      <c r="F108" s="165">
        <v>13.2</v>
      </c>
      <c r="G108" s="197">
        <v>15</v>
      </c>
      <c r="H108" s="197">
        <v>15</v>
      </c>
      <c r="I108" s="164">
        <v>14</v>
      </c>
      <c r="J108" s="164">
        <v>13.4</v>
      </c>
      <c r="K108" s="164">
        <v>14</v>
      </c>
      <c r="L108" s="164">
        <v>13</v>
      </c>
      <c r="M108" s="164">
        <v>15</v>
      </c>
      <c r="N108" s="164">
        <v>15</v>
      </c>
      <c r="O108" s="164">
        <v>14</v>
      </c>
      <c r="P108" s="164">
        <v>14.25</v>
      </c>
      <c r="Q108" s="164">
        <v>14.17</v>
      </c>
      <c r="R108" s="164">
        <v>15</v>
      </c>
      <c r="S108" s="164">
        <v>13</v>
      </c>
      <c r="T108" s="166">
        <v>0</v>
      </c>
      <c r="U108" s="164">
        <v>15</v>
      </c>
      <c r="V108" s="164">
        <v>15</v>
      </c>
      <c r="W108" s="164">
        <v>14</v>
      </c>
      <c r="X108" s="164">
        <v>15</v>
      </c>
      <c r="Y108" s="164">
        <v>15</v>
      </c>
      <c r="Z108" s="164">
        <v>14</v>
      </c>
      <c r="AA108" s="164">
        <v>15</v>
      </c>
      <c r="AB108" s="164">
        <v>14</v>
      </c>
    </row>
    <row r="109" spans="1:41" ht="27.75" customHeight="1" x14ac:dyDescent="0.4">
      <c r="A109" s="163"/>
      <c r="B109" s="136" t="s">
        <v>17</v>
      </c>
      <c r="C109" s="164">
        <f t="shared" ref="C109:AB109" si="42">IF(C108&gt;0,C107/C108,0)</f>
        <v>13.513513513513512</v>
      </c>
      <c r="D109" s="164">
        <f t="shared" si="42"/>
        <v>10.916666666666666</v>
      </c>
      <c r="E109" s="164">
        <f t="shared" si="42"/>
        <v>13.310810810810811</v>
      </c>
      <c r="F109" s="165">
        <f t="shared" si="42"/>
        <v>13.566919191919194</v>
      </c>
      <c r="G109" s="197">
        <f t="shared" si="42"/>
        <v>0</v>
      </c>
      <c r="H109" s="197">
        <f t="shared" si="42"/>
        <v>0</v>
      </c>
      <c r="I109" s="164">
        <f t="shared" si="42"/>
        <v>13.464285714285714</v>
      </c>
      <c r="J109" s="164">
        <f t="shared" si="42"/>
        <v>12.891791044776118</v>
      </c>
      <c r="K109" s="164">
        <f t="shared" si="42"/>
        <v>9.5595238095238102</v>
      </c>
      <c r="L109" s="164">
        <f t="shared" si="42"/>
        <v>13.448717948717949</v>
      </c>
      <c r="M109" s="164">
        <f t="shared" si="42"/>
        <v>13.666666666666666</v>
      </c>
      <c r="N109" s="164">
        <f t="shared" si="42"/>
        <v>13.21111111111111</v>
      </c>
      <c r="O109" s="164">
        <f t="shared" si="42"/>
        <v>13.946428571428571</v>
      </c>
      <c r="P109" s="164">
        <f t="shared" si="42"/>
        <v>12</v>
      </c>
      <c r="Q109" s="164">
        <f t="shared" si="42"/>
        <v>13.126323218066338</v>
      </c>
      <c r="R109" s="164">
        <f t="shared" si="42"/>
        <v>13.366666666666667</v>
      </c>
      <c r="S109" s="164">
        <f t="shared" si="42"/>
        <v>15.153846153846153</v>
      </c>
      <c r="T109" s="166">
        <f t="shared" si="42"/>
        <v>0</v>
      </c>
      <c r="U109" s="164">
        <f t="shared" si="42"/>
        <v>13.738888888888889</v>
      </c>
      <c r="V109" s="164">
        <f t="shared" si="42"/>
        <v>13.166666666666666</v>
      </c>
      <c r="W109" s="164">
        <f t="shared" si="42"/>
        <v>12.952380952380953</v>
      </c>
      <c r="X109" s="164">
        <f t="shared" si="42"/>
        <v>10.833333333333334</v>
      </c>
      <c r="Y109" s="164">
        <f t="shared" si="42"/>
        <v>13.133333333333333</v>
      </c>
      <c r="Z109" s="164">
        <f t="shared" si="42"/>
        <v>10.535714285714286</v>
      </c>
      <c r="AA109" s="164">
        <f t="shared" si="42"/>
        <v>9.65</v>
      </c>
      <c r="AB109" s="164">
        <f t="shared" si="42"/>
        <v>10.845238095238097</v>
      </c>
      <c r="AC109" s="167">
        <f>SUM(C109:AB109)</f>
        <v>289.99882664355482</v>
      </c>
      <c r="AE109" s="136" t="s">
        <v>18</v>
      </c>
      <c r="AG109" s="136">
        <f>AI107/11.5</f>
        <v>25.083612040133779</v>
      </c>
    </row>
    <row r="110" spans="1:41" ht="27.75" customHeight="1" x14ac:dyDescent="0.4">
      <c r="A110" s="163"/>
      <c r="B110" s="136" t="s">
        <v>19</v>
      </c>
      <c r="C110" s="164">
        <f t="shared" ref="C110:AB110" si="43">IF(C108&gt;0,11.5,0)</f>
        <v>11.5</v>
      </c>
      <c r="D110" s="164">
        <f t="shared" si="43"/>
        <v>11.5</v>
      </c>
      <c r="E110" s="164">
        <f t="shared" si="43"/>
        <v>11.5</v>
      </c>
      <c r="F110" s="165">
        <f t="shared" si="43"/>
        <v>11.5</v>
      </c>
      <c r="G110" s="197">
        <v>0</v>
      </c>
      <c r="H110" s="197">
        <v>0</v>
      </c>
      <c r="I110" s="164">
        <f t="shared" si="43"/>
        <v>11.5</v>
      </c>
      <c r="J110" s="164">
        <f t="shared" si="43"/>
        <v>11.5</v>
      </c>
      <c r="K110" s="164">
        <f t="shared" si="43"/>
        <v>11.5</v>
      </c>
      <c r="L110" s="164">
        <f t="shared" si="43"/>
        <v>11.5</v>
      </c>
      <c r="M110" s="164">
        <f t="shared" si="43"/>
        <v>11.5</v>
      </c>
      <c r="N110" s="164">
        <f t="shared" si="43"/>
        <v>11.5</v>
      </c>
      <c r="O110" s="164">
        <f t="shared" si="43"/>
        <v>11.5</v>
      </c>
      <c r="P110" s="164">
        <f t="shared" si="43"/>
        <v>11.5</v>
      </c>
      <c r="Q110" s="164">
        <f t="shared" si="43"/>
        <v>11.5</v>
      </c>
      <c r="R110" s="164">
        <f t="shared" si="43"/>
        <v>11.5</v>
      </c>
      <c r="S110" s="164">
        <f t="shared" si="43"/>
        <v>11.5</v>
      </c>
      <c r="T110" s="166">
        <f t="shared" si="43"/>
        <v>0</v>
      </c>
      <c r="U110" s="164">
        <f t="shared" si="43"/>
        <v>11.5</v>
      </c>
      <c r="V110" s="164">
        <f t="shared" si="43"/>
        <v>11.5</v>
      </c>
      <c r="W110" s="164">
        <f t="shared" si="43"/>
        <v>11.5</v>
      </c>
      <c r="X110" s="164">
        <f t="shared" si="43"/>
        <v>11.5</v>
      </c>
      <c r="Y110" s="164">
        <f t="shared" si="43"/>
        <v>11.5</v>
      </c>
      <c r="Z110" s="164">
        <f t="shared" si="43"/>
        <v>11.5</v>
      </c>
      <c r="AA110" s="164">
        <f t="shared" si="43"/>
        <v>11.5</v>
      </c>
      <c r="AB110" s="164">
        <f t="shared" si="43"/>
        <v>11.5</v>
      </c>
      <c r="AC110" s="167">
        <f>SUM(C110:AB110)</f>
        <v>264.5</v>
      </c>
      <c r="AE110" s="136" t="s">
        <v>20</v>
      </c>
      <c r="AG110" s="136">
        <f>AC111*AG109</f>
        <v>639.60267500555585</v>
      </c>
    </row>
    <row r="111" spans="1:41" ht="27.75" customHeight="1" x14ac:dyDescent="0.4">
      <c r="A111" s="168"/>
      <c r="B111" s="169" t="s">
        <v>21</v>
      </c>
      <c r="C111" s="170">
        <f t="shared" ref="C111:AB111" si="44">IF(C108&gt;0,C109-C110,0)</f>
        <v>2.0135135135135123</v>
      </c>
      <c r="D111" s="170">
        <f t="shared" si="44"/>
        <v>-0.58333333333333393</v>
      </c>
      <c r="E111" s="170">
        <f t="shared" si="44"/>
        <v>1.8108108108108105</v>
      </c>
      <c r="F111" s="171">
        <f t="shared" si="44"/>
        <v>2.0669191919191938</v>
      </c>
      <c r="G111" s="198">
        <f t="shared" si="44"/>
        <v>0</v>
      </c>
      <c r="H111" s="198">
        <f t="shared" si="44"/>
        <v>0</v>
      </c>
      <c r="I111" s="170">
        <f t="shared" si="44"/>
        <v>1.9642857142857135</v>
      </c>
      <c r="J111" s="170">
        <f t="shared" si="44"/>
        <v>1.3917910447761184</v>
      </c>
      <c r="K111" s="170">
        <f t="shared" si="44"/>
        <v>-1.9404761904761898</v>
      </c>
      <c r="L111" s="170">
        <f t="shared" si="44"/>
        <v>1.9487179487179489</v>
      </c>
      <c r="M111" s="170">
        <f t="shared" si="44"/>
        <v>2.1666666666666661</v>
      </c>
      <c r="N111" s="170">
        <f t="shared" si="44"/>
        <v>1.7111111111111104</v>
      </c>
      <c r="O111" s="170">
        <f t="shared" si="44"/>
        <v>2.4464285714285712</v>
      </c>
      <c r="P111" s="170">
        <f t="shared" si="44"/>
        <v>0.5</v>
      </c>
      <c r="Q111" s="170">
        <f t="shared" si="44"/>
        <v>1.6263232180663376</v>
      </c>
      <c r="R111" s="170">
        <f t="shared" si="44"/>
        <v>1.8666666666666671</v>
      </c>
      <c r="S111" s="170">
        <f t="shared" si="44"/>
        <v>3.6538461538461533</v>
      </c>
      <c r="T111" s="172">
        <f t="shared" si="44"/>
        <v>0</v>
      </c>
      <c r="U111" s="170">
        <f t="shared" si="44"/>
        <v>2.2388888888888889</v>
      </c>
      <c r="V111" s="170">
        <f t="shared" si="44"/>
        <v>1.6666666666666661</v>
      </c>
      <c r="W111" s="170">
        <f t="shared" si="44"/>
        <v>1.4523809523809526</v>
      </c>
      <c r="X111" s="170">
        <f t="shared" si="44"/>
        <v>-0.66666666666666607</v>
      </c>
      <c r="Y111" s="170">
        <f t="shared" si="44"/>
        <v>1.6333333333333329</v>
      </c>
      <c r="Z111" s="170">
        <f t="shared" si="44"/>
        <v>-0.96428571428571352</v>
      </c>
      <c r="AA111" s="170">
        <f t="shared" si="44"/>
        <v>-1.8499999999999996</v>
      </c>
      <c r="AB111" s="170">
        <f t="shared" si="44"/>
        <v>-0.65476190476190332</v>
      </c>
      <c r="AC111" s="167">
        <f>SUM(C111:AB111)</f>
        <v>25.498826643554828</v>
      </c>
      <c r="AH111">
        <f>AF111/175</f>
        <v>0</v>
      </c>
    </row>
    <row r="112" spans="1:41" ht="27.75" customHeight="1" x14ac:dyDescent="0.3"/>
    <row r="113" spans="1:41" ht="27.75" customHeight="1" x14ac:dyDescent="0.3"/>
    <row r="114" spans="1:41" ht="30.75" customHeight="1" x14ac:dyDescent="0.4">
      <c r="B114" s="136" t="s">
        <v>44</v>
      </c>
      <c r="C114" s="137">
        <v>1.06</v>
      </c>
      <c r="D114" s="138">
        <v>2.06</v>
      </c>
      <c r="E114" s="138">
        <v>3.06</v>
      </c>
      <c r="F114" s="138">
        <v>4.0599999999999996</v>
      </c>
      <c r="G114" s="138">
        <v>5.0599999999999996</v>
      </c>
      <c r="H114" s="138">
        <v>6.06</v>
      </c>
      <c r="I114" s="138">
        <v>8.06</v>
      </c>
      <c r="J114" s="140">
        <v>9.06</v>
      </c>
      <c r="K114" s="138">
        <v>10.06</v>
      </c>
      <c r="L114" s="138">
        <v>11.06</v>
      </c>
      <c r="M114" s="138">
        <v>12.06</v>
      </c>
      <c r="N114" s="138">
        <v>13.06</v>
      </c>
      <c r="O114" s="140">
        <v>15.06</v>
      </c>
      <c r="P114" s="138">
        <v>16.059999999999999</v>
      </c>
      <c r="Q114" s="138">
        <v>17.059999999999999</v>
      </c>
      <c r="R114" s="138">
        <v>18.059999999999999</v>
      </c>
      <c r="S114" s="138">
        <v>19.059999999999999</v>
      </c>
      <c r="T114" s="138">
        <v>20.059999999999999</v>
      </c>
      <c r="U114" s="138">
        <v>22.06</v>
      </c>
      <c r="V114" s="138">
        <v>23.06</v>
      </c>
      <c r="W114" s="138">
        <v>24.06</v>
      </c>
      <c r="X114" s="141">
        <v>25.06</v>
      </c>
      <c r="Y114" s="142">
        <v>26.06</v>
      </c>
      <c r="Z114" s="142">
        <v>27.06</v>
      </c>
      <c r="AA114" s="142">
        <v>29.06</v>
      </c>
      <c r="AB114" s="142">
        <v>30.06</v>
      </c>
      <c r="AC114" s="144" t="s">
        <v>1</v>
      </c>
      <c r="AD114" s="145" t="s">
        <v>2</v>
      </c>
      <c r="AE114" s="146" t="s">
        <v>3</v>
      </c>
      <c r="AF114" s="147" t="s">
        <v>4</v>
      </c>
      <c r="AG114" s="147" t="s">
        <v>5</v>
      </c>
      <c r="AH114" s="145" t="s">
        <v>6</v>
      </c>
      <c r="AI114" s="145" t="s">
        <v>7</v>
      </c>
      <c r="AJ114" s="148" t="s">
        <v>8</v>
      </c>
      <c r="AK114" s="145" t="s">
        <v>9</v>
      </c>
      <c r="AL114" s="145" t="s">
        <v>10</v>
      </c>
      <c r="AM114" s="149" t="s">
        <v>11</v>
      </c>
      <c r="AN114" s="145" t="s">
        <v>12</v>
      </c>
      <c r="AO114" s="150" t="s">
        <v>13</v>
      </c>
    </row>
    <row r="115" spans="1:41" ht="39.75" customHeight="1" x14ac:dyDescent="0.6">
      <c r="A115" s="151">
        <v>11</v>
      </c>
      <c r="B115" s="152" t="s">
        <v>45</v>
      </c>
      <c r="C115" s="153">
        <v>200</v>
      </c>
      <c r="D115" s="153">
        <v>163.75</v>
      </c>
      <c r="E115" s="153">
        <v>197</v>
      </c>
      <c r="F115" s="153">
        <f>177.75+8/6</f>
        <v>179.08333333333334</v>
      </c>
      <c r="G115" s="153">
        <f>136.75+38/6</f>
        <v>143.08333333333334</v>
      </c>
      <c r="H115" s="153">
        <v>201.75</v>
      </c>
      <c r="I115" s="153">
        <v>188.5</v>
      </c>
      <c r="J115" s="156">
        <v>0</v>
      </c>
      <c r="K115" s="153">
        <f>131+17/6</f>
        <v>133.83333333333334</v>
      </c>
      <c r="L115" s="153">
        <f>168.5+38/6</f>
        <v>174.83333333333334</v>
      </c>
      <c r="M115" s="153">
        <v>205</v>
      </c>
      <c r="N115" s="153">
        <f>196.5+10/6</f>
        <v>198.16666666666666</v>
      </c>
      <c r="O115" s="156">
        <v>0</v>
      </c>
      <c r="P115" s="153">
        <v>171</v>
      </c>
      <c r="Q115" s="153">
        <v>186</v>
      </c>
      <c r="R115" s="153">
        <v>200.5</v>
      </c>
      <c r="S115" s="153">
        <v>197</v>
      </c>
      <c r="T115" s="153">
        <v>200.5</v>
      </c>
      <c r="U115" s="153">
        <f>205.25+5/6</f>
        <v>206.08333333333334</v>
      </c>
      <c r="V115" s="153">
        <v>197.5</v>
      </c>
      <c r="W115" s="153">
        <f>171.5+59/6</f>
        <v>181.33333333333334</v>
      </c>
      <c r="X115" s="153">
        <v>162.5</v>
      </c>
      <c r="Y115" s="153">
        <f>190+42/6</f>
        <v>197</v>
      </c>
      <c r="Z115" s="153">
        <v>147.5</v>
      </c>
      <c r="AA115" s="153">
        <v>144.75</v>
      </c>
      <c r="AB115" s="153">
        <f>149.5+14/6</f>
        <v>151.83333333333334</v>
      </c>
      <c r="AC115" s="157">
        <f>SUM(C115:AB115)</f>
        <v>4328.5</v>
      </c>
      <c r="AD115" s="158">
        <f>COUNTIF(C116:AB116,"&gt;0")</f>
        <v>24</v>
      </c>
      <c r="AE115" s="158">
        <f>AD115*$AE$11</f>
        <v>4080</v>
      </c>
      <c r="AF115" s="158">
        <f>AC115-AE115</f>
        <v>248.5</v>
      </c>
      <c r="AG115" s="158">
        <f>$AG$11</f>
        <v>26</v>
      </c>
      <c r="AH115" s="158">
        <f>AF115/175</f>
        <v>1.42</v>
      </c>
      <c r="AI115" s="158">
        <f>AK115/AG115</f>
        <v>300</v>
      </c>
      <c r="AJ115" s="159">
        <f>AI115*AH115</f>
        <v>426</v>
      </c>
      <c r="AK115" s="158">
        <v>7800</v>
      </c>
      <c r="AL115" s="160">
        <f>AK115+AJ115</f>
        <v>8226</v>
      </c>
      <c r="AM115" s="152" t="s">
        <v>45</v>
      </c>
      <c r="AN115" s="178"/>
      <c r="AO115" s="178"/>
    </row>
    <row r="116" spans="1:41" ht="27.75" customHeight="1" x14ac:dyDescent="0.4">
      <c r="A116" s="163"/>
      <c r="B116" s="136" t="s">
        <v>16</v>
      </c>
      <c r="C116" s="164">
        <v>14.8</v>
      </c>
      <c r="D116" s="164">
        <v>15</v>
      </c>
      <c r="E116" s="164">
        <v>14.8</v>
      </c>
      <c r="F116" s="164">
        <v>13.2</v>
      </c>
      <c r="G116" s="164">
        <v>15</v>
      </c>
      <c r="H116" s="164">
        <v>15</v>
      </c>
      <c r="I116" s="164">
        <v>14</v>
      </c>
      <c r="J116" s="166">
        <v>0</v>
      </c>
      <c r="K116" s="164">
        <v>14</v>
      </c>
      <c r="L116" s="164">
        <v>13</v>
      </c>
      <c r="M116" s="164">
        <v>15</v>
      </c>
      <c r="N116" s="164">
        <v>15</v>
      </c>
      <c r="O116" s="166">
        <v>0</v>
      </c>
      <c r="P116" s="164">
        <v>14.25</v>
      </c>
      <c r="Q116" s="164">
        <v>14.17</v>
      </c>
      <c r="R116" s="164">
        <v>15</v>
      </c>
      <c r="S116" s="164">
        <v>13</v>
      </c>
      <c r="T116" s="164">
        <v>16</v>
      </c>
      <c r="U116" s="164">
        <v>15</v>
      </c>
      <c r="V116" s="164">
        <v>15</v>
      </c>
      <c r="W116" s="164">
        <v>14</v>
      </c>
      <c r="X116" s="164">
        <v>15</v>
      </c>
      <c r="Y116" s="164">
        <v>15</v>
      </c>
      <c r="Z116" s="164">
        <v>14</v>
      </c>
      <c r="AA116" s="164">
        <v>15</v>
      </c>
      <c r="AB116" s="164">
        <v>14</v>
      </c>
    </row>
    <row r="117" spans="1:41" ht="27.75" customHeight="1" x14ac:dyDescent="0.4">
      <c r="A117" s="163"/>
      <c r="B117" s="136" t="s">
        <v>17</v>
      </c>
      <c r="C117" s="164">
        <f t="shared" ref="C117:AB117" si="45">IF(C116&gt;0,C115/C116,0)</f>
        <v>13.513513513513512</v>
      </c>
      <c r="D117" s="164">
        <f t="shared" si="45"/>
        <v>10.916666666666666</v>
      </c>
      <c r="E117" s="164">
        <f t="shared" si="45"/>
        <v>13.310810810810811</v>
      </c>
      <c r="F117" s="164">
        <f t="shared" si="45"/>
        <v>13.566919191919194</v>
      </c>
      <c r="G117" s="164">
        <f t="shared" si="45"/>
        <v>9.5388888888888896</v>
      </c>
      <c r="H117" s="164">
        <f t="shared" si="45"/>
        <v>13.45</v>
      </c>
      <c r="I117" s="164">
        <f t="shared" si="45"/>
        <v>13.464285714285714</v>
      </c>
      <c r="J117" s="166">
        <f t="shared" si="45"/>
        <v>0</v>
      </c>
      <c r="K117" s="164">
        <f t="shared" si="45"/>
        <v>9.5595238095238102</v>
      </c>
      <c r="L117" s="164">
        <f t="shared" si="45"/>
        <v>13.448717948717949</v>
      </c>
      <c r="M117" s="164">
        <f t="shared" si="45"/>
        <v>13.666666666666666</v>
      </c>
      <c r="N117" s="164">
        <f t="shared" si="45"/>
        <v>13.21111111111111</v>
      </c>
      <c r="O117" s="166">
        <f t="shared" si="45"/>
        <v>0</v>
      </c>
      <c r="P117" s="164">
        <f t="shared" si="45"/>
        <v>12</v>
      </c>
      <c r="Q117" s="164">
        <f t="shared" si="45"/>
        <v>13.126323218066338</v>
      </c>
      <c r="R117" s="164">
        <f t="shared" si="45"/>
        <v>13.366666666666667</v>
      </c>
      <c r="S117" s="164">
        <f t="shared" si="45"/>
        <v>15.153846153846153</v>
      </c>
      <c r="T117" s="164">
        <f t="shared" si="45"/>
        <v>12.53125</v>
      </c>
      <c r="U117" s="164">
        <f t="shared" si="45"/>
        <v>13.738888888888889</v>
      </c>
      <c r="V117" s="164">
        <f t="shared" si="45"/>
        <v>13.166666666666666</v>
      </c>
      <c r="W117" s="164">
        <f t="shared" si="45"/>
        <v>12.952380952380953</v>
      </c>
      <c r="X117" s="164">
        <f t="shared" si="45"/>
        <v>10.833333333333334</v>
      </c>
      <c r="Y117" s="164">
        <f t="shared" si="45"/>
        <v>13.133333333333333</v>
      </c>
      <c r="Z117" s="164">
        <f t="shared" si="45"/>
        <v>10.535714285714286</v>
      </c>
      <c r="AA117" s="164">
        <f t="shared" si="45"/>
        <v>9.65</v>
      </c>
      <c r="AB117" s="164">
        <f t="shared" si="45"/>
        <v>10.845238095238097</v>
      </c>
      <c r="AC117" s="167">
        <f>SUM(C117:AB117)</f>
        <v>298.68074591623906</v>
      </c>
      <c r="AE117" s="136" t="s">
        <v>18</v>
      </c>
      <c r="AG117" s="136">
        <f>AI115/11.5</f>
        <v>26.086956521739129</v>
      </c>
    </row>
    <row r="118" spans="1:41" ht="27.75" customHeight="1" x14ac:dyDescent="0.4">
      <c r="A118" s="163"/>
      <c r="B118" s="136" t="s">
        <v>19</v>
      </c>
      <c r="C118" s="164">
        <f t="shared" ref="C118:AB118" si="46">IF(C116&gt;0,11.5,0)</f>
        <v>11.5</v>
      </c>
      <c r="D118" s="164">
        <f t="shared" si="46"/>
        <v>11.5</v>
      </c>
      <c r="E118" s="164">
        <f t="shared" si="46"/>
        <v>11.5</v>
      </c>
      <c r="F118" s="164">
        <f t="shared" si="46"/>
        <v>11.5</v>
      </c>
      <c r="G118" s="164">
        <f t="shared" si="46"/>
        <v>11.5</v>
      </c>
      <c r="H118" s="164">
        <f t="shared" si="46"/>
        <v>11.5</v>
      </c>
      <c r="I118" s="164">
        <f t="shared" si="46"/>
        <v>11.5</v>
      </c>
      <c r="J118" s="166">
        <f t="shared" si="46"/>
        <v>0</v>
      </c>
      <c r="K118" s="164">
        <f t="shared" si="46"/>
        <v>11.5</v>
      </c>
      <c r="L118" s="164">
        <f t="shared" si="46"/>
        <v>11.5</v>
      </c>
      <c r="M118" s="164">
        <f t="shared" si="46"/>
        <v>11.5</v>
      </c>
      <c r="N118" s="164">
        <f t="shared" si="46"/>
        <v>11.5</v>
      </c>
      <c r="O118" s="166">
        <f t="shared" si="46"/>
        <v>0</v>
      </c>
      <c r="P118" s="164">
        <f t="shared" si="46"/>
        <v>11.5</v>
      </c>
      <c r="Q118" s="164">
        <f t="shared" si="46"/>
        <v>11.5</v>
      </c>
      <c r="R118" s="164">
        <f t="shared" si="46"/>
        <v>11.5</v>
      </c>
      <c r="S118" s="164">
        <f t="shared" si="46"/>
        <v>11.5</v>
      </c>
      <c r="T118" s="164">
        <f t="shared" si="46"/>
        <v>11.5</v>
      </c>
      <c r="U118" s="164">
        <f t="shared" si="46"/>
        <v>11.5</v>
      </c>
      <c r="V118" s="164">
        <f t="shared" si="46"/>
        <v>11.5</v>
      </c>
      <c r="W118" s="164">
        <f t="shared" si="46"/>
        <v>11.5</v>
      </c>
      <c r="X118" s="164">
        <f t="shared" si="46"/>
        <v>11.5</v>
      </c>
      <c r="Y118" s="164">
        <f t="shared" si="46"/>
        <v>11.5</v>
      </c>
      <c r="Z118" s="164">
        <f t="shared" si="46"/>
        <v>11.5</v>
      </c>
      <c r="AA118" s="164">
        <f t="shared" si="46"/>
        <v>11.5</v>
      </c>
      <c r="AB118" s="164">
        <f t="shared" si="46"/>
        <v>11.5</v>
      </c>
      <c r="AC118" s="167">
        <f>SUM(C118:AB118)</f>
        <v>276</v>
      </c>
      <c r="AE118" s="136" t="s">
        <v>20</v>
      </c>
      <c r="AG118" s="136">
        <f>AC119*AG117</f>
        <v>591.67163259753977</v>
      </c>
    </row>
    <row r="119" spans="1:41" ht="27.75" customHeight="1" x14ac:dyDescent="0.4">
      <c r="A119" s="168"/>
      <c r="B119" s="169" t="s">
        <v>21</v>
      </c>
      <c r="C119" s="170">
        <f t="shared" ref="C119:AB119" si="47">IF(C116&gt;0,C117-C118,0)</f>
        <v>2.0135135135135123</v>
      </c>
      <c r="D119" s="170">
        <f t="shared" si="47"/>
        <v>-0.58333333333333393</v>
      </c>
      <c r="E119" s="170">
        <f t="shared" si="47"/>
        <v>1.8108108108108105</v>
      </c>
      <c r="F119" s="170">
        <f t="shared" si="47"/>
        <v>2.0669191919191938</v>
      </c>
      <c r="G119" s="170">
        <f t="shared" si="47"/>
        <v>-1.9611111111111104</v>
      </c>
      <c r="H119" s="170">
        <f t="shared" si="47"/>
        <v>1.9499999999999993</v>
      </c>
      <c r="I119" s="170">
        <f t="shared" si="47"/>
        <v>1.9642857142857135</v>
      </c>
      <c r="J119" s="172">
        <f t="shared" si="47"/>
        <v>0</v>
      </c>
      <c r="K119" s="170">
        <f t="shared" si="47"/>
        <v>-1.9404761904761898</v>
      </c>
      <c r="L119" s="170">
        <f t="shared" si="47"/>
        <v>1.9487179487179489</v>
      </c>
      <c r="M119" s="170">
        <f t="shared" si="47"/>
        <v>2.1666666666666661</v>
      </c>
      <c r="N119" s="170">
        <f t="shared" si="47"/>
        <v>1.7111111111111104</v>
      </c>
      <c r="O119" s="172">
        <f t="shared" si="47"/>
        <v>0</v>
      </c>
      <c r="P119" s="170">
        <f t="shared" si="47"/>
        <v>0.5</v>
      </c>
      <c r="Q119" s="170">
        <f t="shared" si="47"/>
        <v>1.6263232180663376</v>
      </c>
      <c r="R119" s="170">
        <f t="shared" si="47"/>
        <v>1.8666666666666671</v>
      </c>
      <c r="S119" s="170">
        <f t="shared" si="47"/>
        <v>3.6538461538461533</v>
      </c>
      <c r="T119" s="170">
        <f t="shared" si="47"/>
        <v>1.03125</v>
      </c>
      <c r="U119" s="170">
        <f t="shared" si="47"/>
        <v>2.2388888888888889</v>
      </c>
      <c r="V119" s="170">
        <f t="shared" si="47"/>
        <v>1.6666666666666661</v>
      </c>
      <c r="W119" s="170">
        <f t="shared" si="47"/>
        <v>1.4523809523809526</v>
      </c>
      <c r="X119" s="170">
        <f t="shared" si="47"/>
        <v>-0.66666666666666607</v>
      </c>
      <c r="Y119" s="170">
        <f t="shared" si="47"/>
        <v>1.6333333333333329</v>
      </c>
      <c r="Z119" s="170">
        <f t="shared" si="47"/>
        <v>-0.96428571428571352</v>
      </c>
      <c r="AA119" s="170">
        <f t="shared" si="47"/>
        <v>-1.8499999999999996</v>
      </c>
      <c r="AB119" s="170">
        <f t="shared" si="47"/>
        <v>-0.65476190476190332</v>
      </c>
      <c r="AC119" s="167">
        <f>SUM(C119:AB119)</f>
        <v>22.680745916239026</v>
      </c>
      <c r="AH119">
        <f>AF119/175</f>
        <v>0</v>
      </c>
    </row>
    <row r="120" spans="1:41" ht="27.75" customHeight="1" x14ac:dyDescent="0.3"/>
    <row r="121" spans="1:41" ht="27.75" customHeight="1" x14ac:dyDescent="0.4"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</row>
    <row r="122" spans="1:41" ht="27.75" customHeight="1" x14ac:dyDescent="0.4">
      <c r="B122" s="136" t="s">
        <v>46</v>
      </c>
      <c r="C122" s="137">
        <v>1.06</v>
      </c>
      <c r="D122" s="138">
        <v>2.06</v>
      </c>
      <c r="E122" s="140">
        <v>3.06</v>
      </c>
      <c r="F122" s="196">
        <v>4.0599999999999996</v>
      </c>
      <c r="G122" s="138">
        <v>5.0599999999999996</v>
      </c>
      <c r="H122" s="138">
        <v>6.06</v>
      </c>
      <c r="I122" s="138">
        <v>8.06</v>
      </c>
      <c r="J122" s="138">
        <v>9.06</v>
      </c>
      <c r="K122" s="138">
        <v>10.06</v>
      </c>
      <c r="L122" s="138">
        <v>11.06</v>
      </c>
      <c r="M122" s="138">
        <v>12.06</v>
      </c>
      <c r="N122" s="138">
        <v>13.06</v>
      </c>
      <c r="O122" s="138">
        <v>15.06</v>
      </c>
      <c r="P122" s="138">
        <v>16.059999999999999</v>
      </c>
      <c r="Q122" s="138">
        <v>17.059999999999999</v>
      </c>
      <c r="R122" s="138">
        <v>18.059999999999999</v>
      </c>
      <c r="S122" s="138">
        <v>19.059999999999999</v>
      </c>
      <c r="T122" s="138">
        <v>20.059999999999999</v>
      </c>
      <c r="U122" s="138">
        <v>22.06</v>
      </c>
      <c r="V122" s="138">
        <v>23.06</v>
      </c>
      <c r="W122" s="138">
        <v>24.06</v>
      </c>
      <c r="X122" s="192">
        <v>25.06</v>
      </c>
      <c r="Y122" s="142">
        <v>26.06</v>
      </c>
      <c r="Z122" s="142">
        <v>27.06</v>
      </c>
      <c r="AA122" s="142">
        <v>29.06</v>
      </c>
      <c r="AB122" s="142">
        <v>30.06</v>
      </c>
      <c r="AC122" s="144" t="s">
        <v>1</v>
      </c>
      <c r="AD122" s="145" t="s">
        <v>2</v>
      </c>
      <c r="AE122" s="146" t="s">
        <v>3</v>
      </c>
      <c r="AF122" s="147" t="s">
        <v>4</v>
      </c>
      <c r="AG122" s="147" t="s">
        <v>5</v>
      </c>
      <c r="AH122" s="145" t="s">
        <v>6</v>
      </c>
      <c r="AI122" s="145" t="s">
        <v>7</v>
      </c>
      <c r="AJ122" s="148" t="s">
        <v>8</v>
      </c>
      <c r="AK122" s="145" t="s">
        <v>9</v>
      </c>
      <c r="AL122" s="145" t="s">
        <v>10</v>
      </c>
      <c r="AM122" s="149" t="s">
        <v>11</v>
      </c>
      <c r="AN122" s="145" t="s">
        <v>12</v>
      </c>
      <c r="AO122" s="150" t="s">
        <v>13</v>
      </c>
    </row>
    <row r="123" spans="1:41" ht="46.5" customHeight="1" x14ac:dyDescent="0.6">
      <c r="A123" s="151">
        <v>12</v>
      </c>
      <c r="B123" s="152" t="s">
        <v>47</v>
      </c>
      <c r="C123" s="153">
        <v>200</v>
      </c>
      <c r="D123" s="153">
        <v>163.75</v>
      </c>
      <c r="E123" s="188">
        <v>0</v>
      </c>
      <c r="F123" s="195">
        <v>0</v>
      </c>
      <c r="G123" s="153">
        <f>136.75+38/6</f>
        <v>143.08333333333334</v>
      </c>
      <c r="H123" s="153">
        <v>201.75</v>
      </c>
      <c r="I123" s="153">
        <v>188.5</v>
      </c>
      <c r="J123" s="153">
        <v>172.75</v>
      </c>
      <c r="K123" s="153">
        <f>131+17/6</f>
        <v>133.83333333333334</v>
      </c>
      <c r="L123" s="195">
        <v>0</v>
      </c>
      <c r="M123" s="153">
        <v>205</v>
      </c>
      <c r="N123" s="153">
        <f>196.5+10/6</f>
        <v>198.16666666666666</v>
      </c>
      <c r="O123" s="153">
        <v>195.25</v>
      </c>
      <c r="P123" s="153">
        <v>171</v>
      </c>
      <c r="Q123" s="153">
        <v>186</v>
      </c>
      <c r="R123" s="153">
        <v>200.5</v>
      </c>
      <c r="S123" s="153">
        <v>197</v>
      </c>
      <c r="T123" s="153">
        <v>200.5</v>
      </c>
      <c r="U123" s="153">
        <f>205.25+5/6</f>
        <v>206.08333333333334</v>
      </c>
      <c r="V123" s="153">
        <v>197.5</v>
      </c>
      <c r="W123" s="153">
        <f>171.5+59/6</f>
        <v>181.33333333333334</v>
      </c>
      <c r="X123" s="156">
        <v>0</v>
      </c>
      <c r="Y123" s="153">
        <f>190+42/6</f>
        <v>197</v>
      </c>
      <c r="Z123" s="153">
        <v>147.5</v>
      </c>
      <c r="AA123" s="153">
        <v>144.75</v>
      </c>
      <c r="AB123" s="153">
        <f>149.5+14/6</f>
        <v>151.83333333333334</v>
      </c>
      <c r="AC123" s="157">
        <f>SUM(C123:AB123)</f>
        <v>3983.0833333333339</v>
      </c>
      <c r="AD123" s="158">
        <v>22</v>
      </c>
      <c r="AE123" s="158">
        <f>AD123*$AE$11</f>
        <v>3740</v>
      </c>
      <c r="AF123" s="158">
        <f>AC123-AE123</f>
        <v>243.08333333333394</v>
      </c>
      <c r="AG123" s="158">
        <f>$AG$11</f>
        <v>26</v>
      </c>
      <c r="AH123" s="158">
        <f>AF123/175</f>
        <v>1.3890476190476224</v>
      </c>
      <c r="AI123" s="158">
        <f>AK123/AG123</f>
        <v>288.46153846153845</v>
      </c>
      <c r="AJ123" s="159">
        <f>AI123*AH123</f>
        <v>400.68681318681416</v>
      </c>
      <c r="AK123" s="158">
        <v>7500</v>
      </c>
      <c r="AL123" s="160">
        <f>AK123+AJ123</f>
        <v>7900.6868131868141</v>
      </c>
      <c r="AM123" s="152" t="s">
        <v>47</v>
      </c>
      <c r="AN123" s="178"/>
      <c r="AO123" s="178"/>
    </row>
    <row r="124" spans="1:41" ht="27.75" customHeight="1" x14ac:dyDescent="0.4">
      <c r="A124" s="163"/>
      <c r="B124" s="136" t="s">
        <v>16</v>
      </c>
      <c r="C124" s="164">
        <v>14.8</v>
      </c>
      <c r="D124" s="164">
        <v>15</v>
      </c>
      <c r="E124" s="166">
        <v>0</v>
      </c>
      <c r="F124" s="197">
        <v>13.2</v>
      </c>
      <c r="G124" s="164">
        <v>15</v>
      </c>
      <c r="H124" s="164">
        <v>15</v>
      </c>
      <c r="I124" s="164">
        <v>14</v>
      </c>
      <c r="J124" s="164">
        <v>13.4</v>
      </c>
      <c r="K124" s="164">
        <v>14</v>
      </c>
      <c r="L124" s="197">
        <v>13</v>
      </c>
      <c r="M124" s="164">
        <v>15</v>
      </c>
      <c r="N124" s="164">
        <v>15</v>
      </c>
      <c r="O124" s="164">
        <v>14</v>
      </c>
      <c r="P124" s="164">
        <v>14.25</v>
      </c>
      <c r="Q124" s="164">
        <v>14.17</v>
      </c>
      <c r="R124" s="164">
        <v>15</v>
      </c>
      <c r="S124" s="164">
        <v>13</v>
      </c>
      <c r="T124" s="164">
        <v>16</v>
      </c>
      <c r="U124" s="164">
        <v>15</v>
      </c>
      <c r="V124" s="164">
        <v>15</v>
      </c>
      <c r="W124" s="164">
        <v>14</v>
      </c>
      <c r="X124" s="166">
        <v>0</v>
      </c>
      <c r="Y124" s="164">
        <v>15</v>
      </c>
      <c r="Z124" s="164">
        <v>14</v>
      </c>
      <c r="AA124" s="164">
        <v>15</v>
      </c>
      <c r="AB124" s="164">
        <v>14</v>
      </c>
    </row>
    <row r="125" spans="1:41" ht="27.75" customHeight="1" x14ac:dyDescent="0.4">
      <c r="A125" s="163"/>
      <c r="B125" s="136" t="s">
        <v>17</v>
      </c>
      <c r="C125" s="164">
        <f t="shared" ref="C125:AB125" si="48">IF(C124&gt;0,C123/C124,0)</f>
        <v>13.513513513513512</v>
      </c>
      <c r="D125" s="164">
        <f t="shared" si="48"/>
        <v>10.916666666666666</v>
      </c>
      <c r="E125" s="166">
        <f t="shared" si="48"/>
        <v>0</v>
      </c>
      <c r="F125" s="197">
        <f t="shared" si="48"/>
        <v>0</v>
      </c>
      <c r="G125" s="164">
        <f t="shared" si="48"/>
        <v>9.5388888888888896</v>
      </c>
      <c r="H125" s="164">
        <f t="shared" si="48"/>
        <v>13.45</v>
      </c>
      <c r="I125" s="164">
        <f t="shared" si="48"/>
        <v>13.464285714285714</v>
      </c>
      <c r="J125" s="164">
        <f t="shared" si="48"/>
        <v>12.891791044776118</v>
      </c>
      <c r="K125" s="164">
        <f t="shared" si="48"/>
        <v>9.5595238095238102</v>
      </c>
      <c r="L125" s="197">
        <f t="shared" si="48"/>
        <v>0</v>
      </c>
      <c r="M125" s="164">
        <f t="shared" si="48"/>
        <v>13.666666666666666</v>
      </c>
      <c r="N125" s="164">
        <f t="shared" si="48"/>
        <v>13.21111111111111</v>
      </c>
      <c r="O125" s="164">
        <f t="shared" si="48"/>
        <v>13.946428571428571</v>
      </c>
      <c r="P125" s="164">
        <f t="shared" si="48"/>
        <v>12</v>
      </c>
      <c r="Q125" s="164">
        <f t="shared" si="48"/>
        <v>13.126323218066338</v>
      </c>
      <c r="R125" s="164">
        <f t="shared" si="48"/>
        <v>13.366666666666667</v>
      </c>
      <c r="S125" s="164">
        <f t="shared" si="48"/>
        <v>15.153846153846153</v>
      </c>
      <c r="T125" s="164">
        <f t="shared" si="48"/>
        <v>12.53125</v>
      </c>
      <c r="U125" s="164">
        <f t="shared" si="48"/>
        <v>13.738888888888889</v>
      </c>
      <c r="V125" s="164">
        <f t="shared" si="48"/>
        <v>13.166666666666666</v>
      </c>
      <c r="W125" s="164">
        <f t="shared" si="48"/>
        <v>12.952380952380953</v>
      </c>
      <c r="X125" s="166">
        <f t="shared" si="48"/>
        <v>0</v>
      </c>
      <c r="Y125" s="164">
        <f t="shared" si="48"/>
        <v>13.133333333333333</v>
      </c>
      <c r="Z125" s="164">
        <f t="shared" si="48"/>
        <v>10.535714285714286</v>
      </c>
      <c r="AA125" s="164">
        <f t="shared" si="48"/>
        <v>9.65</v>
      </c>
      <c r="AB125" s="164">
        <f t="shared" si="48"/>
        <v>10.845238095238097</v>
      </c>
      <c r="AC125" s="167">
        <f>SUM(C125:AB125)</f>
        <v>274.35918424766243</v>
      </c>
      <c r="AE125" s="136" t="s">
        <v>18</v>
      </c>
      <c r="AG125" s="136">
        <f>AI123/11.5</f>
        <v>25.083612040133779</v>
      </c>
    </row>
    <row r="126" spans="1:41" ht="27.75" customHeight="1" x14ac:dyDescent="0.4">
      <c r="A126" s="163"/>
      <c r="B126" s="136" t="s">
        <v>19</v>
      </c>
      <c r="C126" s="164">
        <f t="shared" ref="C126:AB126" si="49">IF(C124&gt;0,11.5,0)</f>
        <v>11.5</v>
      </c>
      <c r="D126" s="164">
        <f t="shared" si="49"/>
        <v>11.5</v>
      </c>
      <c r="E126" s="166">
        <f t="shared" si="49"/>
        <v>0</v>
      </c>
      <c r="F126" s="197">
        <v>0</v>
      </c>
      <c r="G126" s="164">
        <f t="shared" si="49"/>
        <v>11.5</v>
      </c>
      <c r="H126" s="164">
        <f t="shared" si="49"/>
        <v>11.5</v>
      </c>
      <c r="I126" s="164">
        <f t="shared" si="49"/>
        <v>11.5</v>
      </c>
      <c r="J126" s="164">
        <f t="shared" si="49"/>
        <v>11.5</v>
      </c>
      <c r="K126" s="164">
        <f t="shared" si="49"/>
        <v>11.5</v>
      </c>
      <c r="L126" s="197">
        <v>0</v>
      </c>
      <c r="M126" s="164">
        <f t="shared" si="49"/>
        <v>11.5</v>
      </c>
      <c r="N126" s="164">
        <f t="shared" si="49"/>
        <v>11.5</v>
      </c>
      <c r="O126" s="164">
        <f t="shared" si="49"/>
        <v>11.5</v>
      </c>
      <c r="P126" s="164">
        <f t="shared" si="49"/>
        <v>11.5</v>
      </c>
      <c r="Q126" s="164">
        <f t="shared" si="49"/>
        <v>11.5</v>
      </c>
      <c r="R126" s="164">
        <f t="shared" si="49"/>
        <v>11.5</v>
      </c>
      <c r="S126" s="164">
        <f t="shared" si="49"/>
        <v>11.5</v>
      </c>
      <c r="T126" s="164">
        <f t="shared" si="49"/>
        <v>11.5</v>
      </c>
      <c r="U126" s="164">
        <f t="shared" si="49"/>
        <v>11.5</v>
      </c>
      <c r="V126" s="164">
        <f t="shared" si="49"/>
        <v>11.5</v>
      </c>
      <c r="W126" s="164">
        <f t="shared" si="49"/>
        <v>11.5</v>
      </c>
      <c r="X126" s="166">
        <f t="shared" si="49"/>
        <v>0</v>
      </c>
      <c r="Y126" s="164">
        <f t="shared" si="49"/>
        <v>11.5</v>
      </c>
      <c r="Z126" s="164">
        <f t="shared" si="49"/>
        <v>11.5</v>
      </c>
      <c r="AA126" s="164">
        <f t="shared" si="49"/>
        <v>11.5</v>
      </c>
      <c r="AB126" s="164">
        <f t="shared" si="49"/>
        <v>11.5</v>
      </c>
      <c r="AC126" s="167">
        <f>SUM(C126:AB126)</f>
        <v>253</v>
      </c>
      <c r="AE126" s="136" t="s">
        <v>20</v>
      </c>
      <c r="AG126" s="136">
        <f>AC127*AG125</f>
        <v>535.76549116210117</v>
      </c>
    </row>
    <row r="127" spans="1:41" ht="27.75" customHeight="1" x14ac:dyDescent="0.4">
      <c r="A127" s="168"/>
      <c r="B127" s="169" t="s">
        <v>21</v>
      </c>
      <c r="C127" s="170">
        <f t="shared" ref="C127:AB127" si="50">IF(C124&gt;0,C125-C126,0)</f>
        <v>2.0135135135135123</v>
      </c>
      <c r="D127" s="170">
        <f t="shared" si="50"/>
        <v>-0.58333333333333393</v>
      </c>
      <c r="E127" s="172">
        <f t="shared" si="50"/>
        <v>0</v>
      </c>
      <c r="F127" s="198">
        <f t="shared" si="50"/>
        <v>0</v>
      </c>
      <c r="G127" s="170">
        <f t="shared" si="50"/>
        <v>-1.9611111111111104</v>
      </c>
      <c r="H127" s="170">
        <f t="shared" si="50"/>
        <v>1.9499999999999993</v>
      </c>
      <c r="I127" s="170">
        <f t="shared" si="50"/>
        <v>1.9642857142857135</v>
      </c>
      <c r="J127" s="170">
        <f t="shared" si="50"/>
        <v>1.3917910447761184</v>
      </c>
      <c r="K127" s="170">
        <f t="shared" si="50"/>
        <v>-1.9404761904761898</v>
      </c>
      <c r="L127" s="198">
        <f t="shared" si="50"/>
        <v>0</v>
      </c>
      <c r="M127" s="170">
        <f t="shared" si="50"/>
        <v>2.1666666666666661</v>
      </c>
      <c r="N127" s="170">
        <f t="shared" si="50"/>
        <v>1.7111111111111104</v>
      </c>
      <c r="O127" s="170">
        <f t="shared" si="50"/>
        <v>2.4464285714285712</v>
      </c>
      <c r="P127" s="170">
        <f t="shared" si="50"/>
        <v>0.5</v>
      </c>
      <c r="Q127" s="170">
        <f t="shared" si="50"/>
        <v>1.6263232180663376</v>
      </c>
      <c r="R127" s="170">
        <f t="shared" si="50"/>
        <v>1.8666666666666671</v>
      </c>
      <c r="S127" s="170">
        <f t="shared" si="50"/>
        <v>3.6538461538461533</v>
      </c>
      <c r="T127" s="170">
        <f t="shared" si="50"/>
        <v>1.03125</v>
      </c>
      <c r="U127" s="170">
        <f t="shared" si="50"/>
        <v>2.2388888888888889</v>
      </c>
      <c r="V127" s="170">
        <f t="shared" si="50"/>
        <v>1.6666666666666661</v>
      </c>
      <c r="W127" s="170">
        <f t="shared" si="50"/>
        <v>1.4523809523809526</v>
      </c>
      <c r="X127" s="172">
        <f t="shared" si="50"/>
        <v>0</v>
      </c>
      <c r="Y127" s="170">
        <f t="shared" si="50"/>
        <v>1.6333333333333329</v>
      </c>
      <c r="Z127" s="170">
        <f t="shared" si="50"/>
        <v>-0.96428571428571352</v>
      </c>
      <c r="AA127" s="170">
        <f t="shared" si="50"/>
        <v>-1.8499999999999996</v>
      </c>
      <c r="AB127" s="170">
        <f t="shared" si="50"/>
        <v>-0.65476190476190332</v>
      </c>
      <c r="AC127" s="167">
        <f>SUM(C127:AB127)</f>
        <v>21.359184247662434</v>
      </c>
      <c r="AH127">
        <f>AF127/175</f>
        <v>0</v>
      </c>
    </row>
    <row r="128" spans="1:41" ht="27.75" customHeight="1" thickTop="1" x14ac:dyDescent="0.4"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67"/>
    </row>
    <row r="129" spans="1:41" ht="15" thickBot="1" x14ac:dyDescent="0.35"/>
    <row r="130" spans="1:41" ht="27.75" customHeight="1" thickTop="1" thickBot="1" x14ac:dyDescent="0.45">
      <c r="B130" s="136"/>
      <c r="C130" s="137">
        <v>1.06</v>
      </c>
      <c r="D130" s="138">
        <v>2.06</v>
      </c>
      <c r="E130" s="138">
        <v>3.06</v>
      </c>
      <c r="F130" s="138">
        <v>4.0599999999999996</v>
      </c>
      <c r="G130" s="138">
        <v>5.0599999999999996</v>
      </c>
      <c r="H130" s="138">
        <v>6.06</v>
      </c>
      <c r="I130" s="138">
        <v>8.06</v>
      </c>
      <c r="J130" s="138">
        <v>9.06</v>
      </c>
      <c r="K130" s="138">
        <v>10.06</v>
      </c>
      <c r="L130" s="138">
        <v>11.06</v>
      </c>
      <c r="M130" s="138">
        <v>12.06</v>
      </c>
      <c r="N130" s="138">
        <v>13.06</v>
      </c>
      <c r="O130" s="138">
        <v>15.06</v>
      </c>
      <c r="P130" s="138">
        <v>16.059999999999999</v>
      </c>
      <c r="Q130" s="138">
        <v>17.059999999999999</v>
      </c>
      <c r="R130" s="138">
        <v>18.059999999999999</v>
      </c>
      <c r="S130" s="138">
        <v>19.059999999999999</v>
      </c>
      <c r="T130" s="196">
        <v>20.059999999999999</v>
      </c>
      <c r="U130" s="194">
        <v>22.06</v>
      </c>
      <c r="V130" s="138">
        <v>23.06</v>
      </c>
      <c r="W130" s="138">
        <v>24.06</v>
      </c>
      <c r="X130" s="141">
        <v>25.06</v>
      </c>
      <c r="Y130" s="142">
        <v>26.06</v>
      </c>
      <c r="Z130" s="142">
        <v>27.06</v>
      </c>
      <c r="AA130" s="142">
        <v>29.06</v>
      </c>
      <c r="AB130" s="142">
        <v>30.06</v>
      </c>
      <c r="AC130" s="144" t="s">
        <v>1</v>
      </c>
      <c r="AD130" s="145" t="s">
        <v>2</v>
      </c>
      <c r="AE130" s="146" t="s">
        <v>3</v>
      </c>
      <c r="AF130" s="147" t="s">
        <v>4</v>
      </c>
      <c r="AG130" s="147" t="s">
        <v>5</v>
      </c>
      <c r="AH130" s="145" t="s">
        <v>6</v>
      </c>
      <c r="AI130" s="145" t="s">
        <v>7</v>
      </c>
      <c r="AJ130" s="148" t="s">
        <v>8</v>
      </c>
      <c r="AK130" s="145" t="s">
        <v>9</v>
      </c>
      <c r="AL130" s="145" t="s">
        <v>10</v>
      </c>
      <c r="AM130" s="149" t="s">
        <v>11</v>
      </c>
      <c r="AN130" s="145" t="s">
        <v>12</v>
      </c>
      <c r="AO130" s="150" t="s">
        <v>13</v>
      </c>
    </row>
    <row r="131" spans="1:41" ht="48" customHeight="1" thickTop="1" thickBot="1" x14ac:dyDescent="0.65">
      <c r="A131" s="151"/>
      <c r="B131" s="152" t="s">
        <v>142</v>
      </c>
      <c r="C131" s="153">
        <v>0</v>
      </c>
      <c r="D131" s="153">
        <v>0</v>
      </c>
      <c r="E131" s="154">
        <v>197</v>
      </c>
      <c r="F131" s="153">
        <f>177.75+8/6</f>
        <v>179.08333333333334</v>
      </c>
      <c r="G131" s="153">
        <f>136.75+38/6</f>
        <v>143.08333333333334</v>
      </c>
      <c r="H131" s="153">
        <v>201.75</v>
      </c>
      <c r="I131" s="153">
        <v>188.5</v>
      </c>
      <c r="J131" s="153">
        <v>172.75</v>
      </c>
      <c r="K131" s="195">
        <v>55</v>
      </c>
      <c r="L131" s="153">
        <f>168.5+38/6</f>
        <v>174.83333333333334</v>
      </c>
      <c r="M131" s="153">
        <v>205</v>
      </c>
      <c r="N131" s="153">
        <f>196.5+10/6</f>
        <v>198.16666666666666</v>
      </c>
      <c r="O131" s="153">
        <v>195.25</v>
      </c>
      <c r="P131" s="153">
        <v>171</v>
      </c>
      <c r="Q131" s="153">
        <v>186</v>
      </c>
      <c r="R131" s="153">
        <v>200.5</v>
      </c>
      <c r="S131" s="153">
        <v>197</v>
      </c>
      <c r="T131" s="195">
        <v>0</v>
      </c>
      <c r="U131" s="153">
        <f>205.25+5/6</f>
        <v>206.08333333333334</v>
      </c>
      <c r="V131" s="153">
        <v>197.5</v>
      </c>
      <c r="W131" s="153">
        <f>171.5+59/6</f>
        <v>181.33333333333334</v>
      </c>
      <c r="X131" s="153">
        <v>162.5</v>
      </c>
      <c r="Y131" s="153">
        <f>190+42/6</f>
        <v>197</v>
      </c>
      <c r="Z131" s="153">
        <v>147.5</v>
      </c>
      <c r="AA131" s="153">
        <v>144.75</v>
      </c>
      <c r="AB131" s="153">
        <f>149.5+14/6</f>
        <v>151.83333333333334</v>
      </c>
      <c r="AC131" s="157">
        <f>SUM(C131:AB131)</f>
        <v>4053.4166666666674</v>
      </c>
      <c r="AD131" s="158">
        <v>23</v>
      </c>
      <c r="AE131" s="158">
        <f>AD131*$AE$11</f>
        <v>3910</v>
      </c>
      <c r="AF131" s="158">
        <f>AC131-AE131</f>
        <v>143.41666666666742</v>
      </c>
      <c r="AG131" s="158">
        <v>24</v>
      </c>
      <c r="AH131" s="158">
        <f>AF131/175</f>
        <v>0.81952380952381387</v>
      </c>
      <c r="AI131" s="158">
        <f>AK131/AG131</f>
        <v>179.16666666666666</v>
      </c>
      <c r="AJ131" s="159">
        <f>AI131*AH131</f>
        <v>146.83134920634998</v>
      </c>
      <c r="AK131" s="158">
        <v>4300</v>
      </c>
      <c r="AL131" s="160">
        <f>AK131+AJ131</f>
        <v>4446.8313492063498</v>
      </c>
      <c r="AM131" s="152" t="s">
        <v>142</v>
      </c>
      <c r="AN131" s="161"/>
      <c r="AO131" s="161"/>
    </row>
    <row r="132" spans="1:41" ht="27.75" customHeight="1" thickTop="1" x14ac:dyDescent="0.4">
      <c r="A132" s="163"/>
      <c r="B132" s="136" t="s">
        <v>16</v>
      </c>
      <c r="C132" s="164">
        <v>14.8</v>
      </c>
      <c r="D132" s="164">
        <v>15</v>
      </c>
      <c r="E132" s="164">
        <v>14.8</v>
      </c>
      <c r="F132" s="164">
        <v>13.2</v>
      </c>
      <c r="G132" s="164">
        <v>15</v>
      </c>
      <c r="H132" s="164">
        <v>15</v>
      </c>
      <c r="I132" s="164">
        <v>14</v>
      </c>
      <c r="J132" s="164">
        <v>13.4</v>
      </c>
      <c r="K132" s="164">
        <v>14</v>
      </c>
      <c r="L132" s="164">
        <v>13</v>
      </c>
      <c r="M132" s="164">
        <v>15</v>
      </c>
      <c r="N132" s="164">
        <v>15</v>
      </c>
      <c r="O132" s="164">
        <v>14</v>
      </c>
      <c r="P132" s="164">
        <v>14.25</v>
      </c>
      <c r="Q132" s="164">
        <v>14.17</v>
      </c>
      <c r="R132" s="164">
        <v>15</v>
      </c>
      <c r="S132" s="164">
        <v>13</v>
      </c>
      <c r="T132" s="197">
        <v>16</v>
      </c>
      <c r="U132" s="164">
        <v>15</v>
      </c>
      <c r="V132" s="164">
        <v>15</v>
      </c>
      <c r="W132" s="164">
        <v>14</v>
      </c>
      <c r="X132" s="164">
        <v>15</v>
      </c>
      <c r="Y132" s="164">
        <v>15</v>
      </c>
      <c r="Z132" s="164">
        <v>14</v>
      </c>
      <c r="AA132" s="164">
        <v>15</v>
      </c>
      <c r="AB132" s="164">
        <v>14</v>
      </c>
    </row>
    <row r="133" spans="1:41" ht="27.75" customHeight="1" x14ac:dyDescent="0.4">
      <c r="A133" s="163"/>
      <c r="B133" s="136" t="s">
        <v>17</v>
      </c>
      <c r="C133" s="164">
        <f t="shared" ref="C133:AB133" si="51">IF(C132&gt;0,C131/C132,0)</f>
        <v>0</v>
      </c>
      <c r="D133" s="164">
        <f t="shared" si="51"/>
        <v>0</v>
      </c>
      <c r="E133" s="164">
        <f t="shared" si="51"/>
        <v>13.310810810810811</v>
      </c>
      <c r="F133" s="164">
        <f t="shared" si="51"/>
        <v>13.566919191919194</v>
      </c>
      <c r="G133" s="164">
        <f t="shared" si="51"/>
        <v>9.5388888888888896</v>
      </c>
      <c r="H133" s="164">
        <f t="shared" si="51"/>
        <v>13.45</v>
      </c>
      <c r="I133" s="164">
        <f t="shared" si="51"/>
        <v>13.464285714285714</v>
      </c>
      <c r="J133" s="164">
        <f t="shared" si="51"/>
        <v>12.891791044776118</v>
      </c>
      <c r="K133" s="164">
        <f t="shared" si="51"/>
        <v>3.9285714285714284</v>
      </c>
      <c r="L133" s="164">
        <f t="shared" si="51"/>
        <v>13.448717948717949</v>
      </c>
      <c r="M133" s="164">
        <f t="shared" si="51"/>
        <v>13.666666666666666</v>
      </c>
      <c r="N133" s="164">
        <f t="shared" si="51"/>
        <v>13.21111111111111</v>
      </c>
      <c r="O133" s="164">
        <f t="shared" si="51"/>
        <v>13.946428571428571</v>
      </c>
      <c r="P133" s="164">
        <f t="shared" si="51"/>
        <v>12</v>
      </c>
      <c r="Q133" s="164">
        <f t="shared" si="51"/>
        <v>13.126323218066338</v>
      </c>
      <c r="R133" s="164">
        <f t="shared" si="51"/>
        <v>13.366666666666667</v>
      </c>
      <c r="S133" s="164">
        <f t="shared" si="51"/>
        <v>15.153846153846153</v>
      </c>
      <c r="T133" s="197">
        <f t="shared" si="51"/>
        <v>0</v>
      </c>
      <c r="U133" s="164">
        <f t="shared" si="51"/>
        <v>13.738888888888889</v>
      </c>
      <c r="V133" s="164">
        <f t="shared" si="51"/>
        <v>13.166666666666666</v>
      </c>
      <c r="W133" s="164">
        <f t="shared" si="51"/>
        <v>12.952380952380953</v>
      </c>
      <c r="X133" s="164">
        <f t="shared" si="51"/>
        <v>10.833333333333334</v>
      </c>
      <c r="Y133" s="164">
        <f t="shared" si="51"/>
        <v>13.133333333333333</v>
      </c>
      <c r="Z133" s="164">
        <f t="shared" si="51"/>
        <v>10.535714285714286</v>
      </c>
      <c r="AA133" s="164">
        <f t="shared" si="51"/>
        <v>9.65</v>
      </c>
      <c r="AB133" s="164">
        <f t="shared" si="51"/>
        <v>10.845238095238097</v>
      </c>
      <c r="AC133" s="167">
        <f>SUM(C133:AB133)</f>
        <v>282.92658297131118</v>
      </c>
      <c r="AE133" s="136" t="s">
        <v>18</v>
      </c>
      <c r="AG133" s="136">
        <f>AI131/11.5</f>
        <v>15.579710144927535</v>
      </c>
    </row>
    <row r="134" spans="1:41" ht="27.75" customHeight="1" x14ac:dyDescent="0.4">
      <c r="A134" s="163"/>
      <c r="B134" s="136" t="s">
        <v>19</v>
      </c>
      <c r="C134" s="184">
        <v>0</v>
      </c>
      <c r="D134" s="164">
        <v>0</v>
      </c>
      <c r="E134" s="184">
        <f t="shared" ref="E134:AB134" si="52">IF(E132&gt;0,11.5,0)</f>
        <v>11.5</v>
      </c>
      <c r="F134" s="184">
        <f t="shared" si="52"/>
        <v>11.5</v>
      </c>
      <c r="G134" s="184">
        <f t="shared" si="52"/>
        <v>11.5</v>
      </c>
      <c r="H134" s="184">
        <f t="shared" si="52"/>
        <v>11.5</v>
      </c>
      <c r="I134" s="184">
        <f t="shared" si="52"/>
        <v>11.5</v>
      </c>
      <c r="J134" s="164">
        <f t="shared" si="52"/>
        <v>11.5</v>
      </c>
      <c r="K134" s="184">
        <f t="shared" si="52"/>
        <v>11.5</v>
      </c>
      <c r="L134" s="184">
        <f t="shared" si="52"/>
        <v>11.5</v>
      </c>
      <c r="M134" s="184">
        <f t="shared" si="52"/>
        <v>11.5</v>
      </c>
      <c r="N134" s="184">
        <f t="shared" si="52"/>
        <v>11.5</v>
      </c>
      <c r="O134" s="184">
        <f t="shared" si="52"/>
        <v>11.5</v>
      </c>
      <c r="P134" s="164">
        <f t="shared" si="52"/>
        <v>11.5</v>
      </c>
      <c r="Q134" s="164">
        <f t="shared" si="52"/>
        <v>11.5</v>
      </c>
      <c r="R134" s="184">
        <f t="shared" si="52"/>
        <v>11.5</v>
      </c>
      <c r="S134" s="184">
        <f t="shared" si="52"/>
        <v>11.5</v>
      </c>
      <c r="T134" s="199">
        <v>0</v>
      </c>
      <c r="U134" s="164">
        <f t="shared" si="52"/>
        <v>11.5</v>
      </c>
      <c r="V134" s="184">
        <f t="shared" si="52"/>
        <v>11.5</v>
      </c>
      <c r="W134" s="184">
        <f t="shared" si="52"/>
        <v>11.5</v>
      </c>
      <c r="X134" s="184">
        <f t="shared" si="52"/>
        <v>11.5</v>
      </c>
      <c r="Y134" s="184">
        <f t="shared" si="52"/>
        <v>11.5</v>
      </c>
      <c r="Z134" s="184">
        <f t="shared" si="52"/>
        <v>11.5</v>
      </c>
      <c r="AA134" s="184">
        <f t="shared" si="52"/>
        <v>11.5</v>
      </c>
      <c r="AB134" s="184">
        <f t="shared" si="52"/>
        <v>11.5</v>
      </c>
      <c r="AC134" s="167">
        <f>SUM(C134:AB134)</f>
        <v>264.5</v>
      </c>
      <c r="AE134" s="136" t="s">
        <v>20</v>
      </c>
      <c r="AG134" s="136">
        <f>AC135*AG133</f>
        <v>287.08082165448536</v>
      </c>
    </row>
    <row r="135" spans="1:41" ht="27.75" customHeight="1" thickBot="1" x14ac:dyDescent="0.45">
      <c r="A135" s="168"/>
      <c r="B135" s="169" t="s">
        <v>21</v>
      </c>
      <c r="C135" s="170">
        <f t="shared" ref="C135:AB135" si="53">IF(C132&gt;0,C133-C134,0)</f>
        <v>0</v>
      </c>
      <c r="D135" s="170">
        <f t="shared" si="53"/>
        <v>0</v>
      </c>
      <c r="E135" s="170">
        <f t="shared" si="53"/>
        <v>1.8108108108108105</v>
      </c>
      <c r="F135" s="170">
        <f t="shared" si="53"/>
        <v>2.0669191919191938</v>
      </c>
      <c r="G135" s="170">
        <f t="shared" si="53"/>
        <v>-1.9611111111111104</v>
      </c>
      <c r="H135" s="170">
        <f t="shared" si="53"/>
        <v>1.9499999999999993</v>
      </c>
      <c r="I135" s="170">
        <f t="shared" si="53"/>
        <v>1.9642857142857135</v>
      </c>
      <c r="J135" s="170">
        <f t="shared" si="53"/>
        <v>1.3917910447761184</v>
      </c>
      <c r="K135" s="170">
        <f t="shared" si="53"/>
        <v>-7.5714285714285712</v>
      </c>
      <c r="L135" s="170">
        <f t="shared" si="53"/>
        <v>1.9487179487179489</v>
      </c>
      <c r="M135" s="170">
        <f t="shared" si="53"/>
        <v>2.1666666666666661</v>
      </c>
      <c r="N135" s="170">
        <f t="shared" si="53"/>
        <v>1.7111111111111104</v>
      </c>
      <c r="O135" s="170">
        <f t="shared" si="53"/>
        <v>2.4464285714285712</v>
      </c>
      <c r="P135" s="170">
        <f t="shared" si="53"/>
        <v>0.5</v>
      </c>
      <c r="Q135" s="170">
        <f t="shared" si="53"/>
        <v>1.6263232180663376</v>
      </c>
      <c r="R135" s="170">
        <f t="shared" si="53"/>
        <v>1.8666666666666671</v>
      </c>
      <c r="S135" s="170">
        <f t="shared" si="53"/>
        <v>3.6538461538461533</v>
      </c>
      <c r="T135" s="198">
        <f t="shared" si="53"/>
        <v>0</v>
      </c>
      <c r="U135" s="170">
        <f t="shared" si="53"/>
        <v>2.2388888888888889</v>
      </c>
      <c r="V135" s="170">
        <f t="shared" si="53"/>
        <v>1.6666666666666661</v>
      </c>
      <c r="W135" s="170">
        <f t="shared" si="53"/>
        <v>1.4523809523809526</v>
      </c>
      <c r="X135" s="170">
        <f t="shared" si="53"/>
        <v>-0.66666666666666607</v>
      </c>
      <c r="Y135" s="170">
        <f t="shared" si="53"/>
        <v>1.6333333333333329</v>
      </c>
      <c r="Z135" s="170">
        <f t="shared" si="53"/>
        <v>-0.96428571428571352</v>
      </c>
      <c r="AA135" s="170">
        <f t="shared" si="53"/>
        <v>-1.8499999999999996</v>
      </c>
      <c r="AB135" s="170">
        <f t="shared" si="53"/>
        <v>-0.65476190476190332</v>
      </c>
      <c r="AC135" s="167">
        <f>SUM(C135:AB135)</f>
        <v>18.426582971311156</v>
      </c>
      <c r="AH135">
        <f>AF135/175</f>
        <v>0</v>
      </c>
    </row>
    <row r="136" spans="1:41" ht="27.75" customHeight="1" thickTop="1" thickBot="1" x14ac:dyDescent="0.45"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  <c r="AA136" s="167"/>
      <c r="AB136" s="167"/>
      <c r="AC136" s="167"/>
    </row>
    <row r="137" spans="1:41" ht="27.75" customHeight="1" x14ac:dyDescent="0.4">
      <c r="B137" s="136" t="s">
        <v>48</v>
      </c>
      <c r="C137" s="137">
        <v>1.06</v>
      </c>
      <c r="D137" s="138">
        <v>2.06</v>
      </c>
      <c r="E137" s="138">
        <v>3.06</v>
      </c>
      <c r="F137" s="138">
        <v>4.0599999999999996</v>
      </c>
      <c r="G137" s="138">
        <v>5.0599999999999996</v>
      </c>
      <c r="H137" s="138">
        <v>6.06</v>
      </c>
      <c r="I137" s="138">
        <v>8.06</v>
      </c>
      <c r="J137" s="138">
        <v>9.06</v>
      </c>
      <c r="K137" s="140">
        <v>10.06</v>
      </c>
      <c r="L137" s="138">
        <v>11.06</v>
      </c>
      <c r="M137" s="138">
        <v>12.06</v>
      </c>
      <c r="N137" s="138">
        <v>13.06</v>
      </c>
      <c r="O137" s="138">
        <v>15.06</v>
      </c>
      <c r="P137" s="138">
        <v>16.059999999999999</v>
      </c>
      <c r="Q137" s="138">
        <v>17.059999999999999</v>
      </c>
      <c r="R137" s="138">
        <v>18.059999999999999</v>
      </c>
      <c r="S137" s="138">
        <v>19.059999999999999</v>
      </c>
      <c r="T137" s="138">
        <v>20.059999999999999</v>
      </c>
      <c r="U137" s="138">
        <v>22.06</v>
      </c>
      <c r="V137" s="138">
        <v>23.06</v>
      </c>
      <c r="W137" s="138">
        <v>24.06</v>
      </c>
      <c r="X137" s="141">
        <v>25.06</v>
      </c>
      <c r="Y137" s="142">
        <v>26.06</v>
      </c>
      <c r="Z137" s="142">
        <v>27.06</v>
      </c>
      <c r="AA137" s="142">
        <v>29.06</v>
      </c>
      <c r="AB137" s="143">
        <v>30.06</v>
      </c>
      <c r="AC137" s="144" t="s">
        <v>1</v>
      </c>
      <c r="AD137" s="145" t="s">
        <v>2</v>
      </c>
      <c r="AE137" s="146" t="s">
        <v>3</v>
      </c>
      <c r="AF137" s="147" t="s">
        <v>4</v>
      </c>
      <c r="AG137" s="147" t="s">
        <v>5</v>
      </c>
      <c r="AH137" s="145" t="s">
        <v>6</v>
      </c>
      <c r="AI137" s="145" t="s">
        <v>7</v>
      </c>
      <c r="AJ137" s="148" t="s">
        <v>8</v>
      </c>
      <c r="AK137" s="145" t="s">
        <v>9</v>
      </c>
      <c r="AL137" s="145" t="s">
        <v>10</v>
      </c>
      <c r="AM137" s="149" t="s">
        <v>11</v>
      </c>
      <c r="AN137" s="145" t="s">
        <v>12</v>
      </c>
      <c r="AO137" s="150" t="s">
        <v>13</v>
      </c>
    </row>
    <row r="138" spans="1:41" ht="54.75" customHeight="1" x14ac:dyDescent="0.6">
      <c r="A138" s="151">
        <v>13</v>
      </c>
      <c r="B138" s="152" t="s">
        <v>49</v>
      </c>
      <c r="C138" s="153">
        <v>200</v>
      </c>
      <c r="D138" s="153">
        <v>163.75</v>
      </c>
      <c r="E138" s="154">
        <v>197</v>
      </c>
      <c r="F138" s="153">
        <f>177.75+8/6</f>
        <v>179.08333333333334</v>
      </c>
      <c r="G138" s="153">
        <f>136.75+38/6</f>
        <v>143.08333333333334</v>
      </c>
      <c r="H138" s="153">
        <v>201.75</v>
      </c>
      <c r="I138" s="153">
        <v>188.5</v>
      </c>
      <c r="J138" s="153">
        <v>172.75</v>
      </c>
      <c r="K138" s="156">
        <v>0</v>
      </c>
      <c r="L138" s="153">
        <f>168.5+38/6</f>
        <v>174.83333333333334</v>
      </c>
      <c r="M138" s="153">
        <v>205</v>
      </c>
      <c r="N138" s="153">
        <f>196.5+10/6</f>
        <v>198.16666666666666</v>
      </c>
      <c r="O138" s="153">
        <v>195.25</v>
      </c>
      <c r="P138" s="153">
        <v>171</v>
      </c>
      <c r="Q138" s="153">
        <v>186</v>
      </c>
      <c r="R138" s="153">
        <v>200.5</v>
      </c>
      <c r="S138" s="153">
        <v>197</v>
      </c>
      <c r="T138" s="153">
        <v>200.5</v>
      </c>
      <c r="U138" s="153">
        <f>205.25+5/6</f>
        <v>206.08333333333334</v>
      </c>
      <c r="V138" s="153">
        <v>197.5</v>
      </c>
      <c r="W138" s="153">
        <f>171.5+59/6</f>
        <v>181.33333333333334</v>
      </c>
      <c r="X138" s="153">
        <v>162.5</v>
      </c>
      <c r="Y138" s="153">
        <f>190+42/6</f>
        <v>197</v>
      </c>
      <c r="Z138" s="153">
        <v>147.5</v>
      </c>
      <c r="AA138" s="153">
        <v>144.75</v>
      </c>
      <c r="AB138" s="156">
        <v>0</v>
      </c>
      <c r="AC138" s="157">
        <f>SUM(C138:AB138)</f>
        <v>4410.8333333333339</v>
      </c>
      <c r="AD138" s="158">
        <f>COUNTIF(C139:AB139,"&gt;0")</f>
        <v>24</v>
      </c>
      <c r="AE138" s="158">
        <f>AD138*$AE$11</f>
        <v>4080</v>
      </c>
      <c r="AF138" s="158">
        <f>AC138-AE138</f>
        <v>330.83333333333394</v>
      </c>
      <c r="AG138" s="158">
        <f>$AG$11</f>
        <v>26</v>
      </c>
      <c r="AH138" s="158">
        <f>AF138/175</f>
        <v>1.890476190476194</v>
      </c>
      <c r="AI138" s="158">
        <f>AK138/AG138</f>
        <v>307.69230769230768</v>
      </c>
      <c r="AJ138" s="159">
        <f>AI138*AH138</f>
        <v>581.68498168498274</v>
      </c>
      <c r="AK138" s="158">
        <v>8000</v>
      </c>
      <c r="AL138" s="160">
        <f>AK138+AJ138</f>
        <v>8581.6849816849826</v>
      </c>
      <c r="AM138" s="152" t="s">
        <v>49</v>
      </c>
      <c r="AN138" s="178"/>
      <c r="AO138" s="178"/>
    </row>
    <row r="139" spans="1:41" ht="27.75" customHeight="1" x14ac:dyDescent="0.4">
      <c r="A139" s="163"/>
      <c r="B139" s="136" t="s">
        <v>16</v>
      </c>
      <c r="C139" s="164">
        <v>14.8</v>
      </c>
      <c r="D139" s="164">
        <v>15</v>
      </c>
      <c r="E139" s="164">
        <v>14.8</v>
      </c>
      <c r="F139" s="164">
        <v>13.2</v>
      </c>
      <c r="G139" s="164">
        <v>15</v>
      </c>
      <c r="H139" s="164">
        <v>15</v>
      </c>
      <c r="I139" s="164">
        <v>14</v>
      </c>
      <c r="J139" s="164">
        <v>13.4</v>
      </c>
      <c r="K139" s="166">
        <v>0</v>
      </c>
      <c r="L139" s="164">
        <v>13</v>
      </c>
      <c r="M139" s="164">
        <v>15</v>
      </c>
      <c r="N139" s="164">
        <v>15</v>
      </c>
      <c r="O139" s="164">
        <v>14</v>
      </c>
      <c r="P139" s="164">
        <v>14.25</v>
      </c>
      <c r="Q139" s="164">
        <v>14.17</v>
      </c>
      <c r="R139" s="164">
        <v>15</v>
      </c>
      <c r="S139" s="164">
        <v>13</v>
      </c>
      <c r="T139" s="164">
        <v>16</v>
      </c>
      <c r="U139" s="164">
        <v>15</v>
      </c>
      <c r="V139" s="164">
        <v>15</v>
      </c>
      <c r="W139" s="164">
        <v>14</v>
      </c>
      <c r="X139" s="164">
        <v>15</v>
      </c>
      <c r="Y139" s="164">
        <v>15</v>
      </c>
      <c r="Z139" s="164">
        <v>14</v>
      </c>
      <c r="AA139" s="164">
        <v>15</v>
      </c>
      <c r="AB139" s="166">
        <v>0</v>
      </c>
    </row>
    <row r="140" spans="1:41" ht="27.75" customHeight="1" x14ac:dyDescent="0.4">
      <c r="A140" s="163"/>
      <c r="B140" s="136" t="s">
        <v>17</v>
      </c>
      <c r="C140" s="164">
        <f t="shared" ref="C140:AB140" si="54">IF(C139&gt;0,C138/C139,0)</f>
        <v>13.513513513513512</v>
      </c>
      <c r="D140" s="164">
        <f t="shared" si="54"/>
        <v>10.916666666666666</v>
      </c>
      <c r="E140" s="164">
        <f t="shared" si="54"/>
        <v>13.310810810810811</v>
      </c>
      <c r="F140" s="164">
        <f t="shared" si="54"/>
        <v>13.566919191919194</v>
      </c>
      <c r="G140" s="164">
        <f t="shared" si="54"/>
        <v>9.5388888888888896</v>
      </c>
      <c r="H140" s="164">
        <f t="shared" si="54"/>
        <v>13.45</v>
      </c>
      <c r="I140" s="164">
        <f t="shared" si="54"/>
        <v>13.464285714285714</v>
      </c>
      <c r="J140" s="164">
        <f t="shared" si="54"/>
        <v>12.891791044776118</v>
      </c>
      <c r="K140" s="166">
        <f t="shared" si="54"/>
        <v>0</v>
      </c>
      <c r="L140" s="164">
        <f t="shared" si="54"/>
        <v>13.448717948717949</v>
      </c>
      <c r="M140" s="164">
        <f t="shared" si="54"/>
        <v>13.666666666666666</v>
      </c>
      <c r="N140" s="164">
        <f t="shared" si="54"/>
        <v>13.21111111111111</v>
      </c>
      <c r="O140" s="164">
        <f t="shared" si="54"/>
        <v>13.946428571428571</v>
      </c>
      <c r="P140" s="164">
        <f t="shared" si="54"/>
        <v>12</v>
      </c>
      <c r="Q140" s="164">
        <f t="shared" si="54"/>
        <v>13.126323218066338</v>
      </c>
      <c r="R140" s="164">
        <f t="shared" si="54"/>
        <v>13.366666666666667</v>
      </c>
      <c r="S140" s="164">
        <f t="shared" si="54"/>
        <v>15.153846153846153</v>
      </c>
      <c r="T140" s="164">
        <f t="shared" si="54"/>
        <v>12.53125</v>
      </c>
      <c r="U140" s="164">
        <f t="shared" si="54"/>
        <v>13.738888888888889</v>
      </c>
      <c r="V140" s="164">
        <f t="shared" si="54"/>
        <v>13.166666666666666</v>
      </c>
      <c r="W140" s="164">
        <f t="shared" si="54"/>
        <v>12.952380952380953</v>
      </c>
      <c r="X140" s="164">
        <f t="shared" si="54"/>
        <v>10.833333333333334</v>
      </c>
      <c r="Y140" s="164">
        <f t="shared" si="54"/>
        <v>13.133333333333333</v>
      </c>
      <c r="Z140" s="164">
        <f t="shared" si="54"/>
        <v>10.535714285714286</v>
      </c>
      <c r="AA140" s="164">
        <f t="shared" si="54"/>
        <v>9.65</v>
      </c>
      <c r="AB140" s="166">
        <f t="shared" si="54"/>
        <v>0</v>
      </c>
      <c r="AC140" s="167">
        <f>SUM(C140:AB140)</f>
        <v>305.11420362768177</v>
      </c>
      <c r="AE140" s="136" t="s">
        <v>18</v>
      </c>
      <c r="AG140" s="136">
        <f>AI138/11.5</f>
        <v>26.755852842809364</v>
      </c>
    </row>
    <row r="141" spans="1:41" ht="27.75" customHeight="1" x14ac:dyDescent="0.4">
      <c r="A141" s="163"/>
      <c r="B141" s="136" t="s">
        <v>19</v>
      </c>
      <c r="C141" s="164">
        <f t="shared" ref="C141:AB141" si="55">IF(C139&gt;0,11.5,0)</f>
        <v>11.5</v>
      </c>
      <c r="D141" s="164">
        <f t="shared" si="55"/>
        <v>11.5</v>
      </c>
      <c r="E141" s="164">
        <f t="shared" si="55"/>
        <v>11.5</v>
      </c>
      <c r="F141" s="164">
        <f t="shared" si="55"/>
        <v>11.5</v>
      </c>
      <c r="G141" s="164">
        <f t="shared" si="55"/>
        <v>11.5</v>
      </c>
      <c r="H141" s="164">
        <f t="shared" si="55"/>
        <v>11.5</v>
      </c>
      <c r="I141" s="164">
        <f t="shared" si="55"/>
        <v>11.5</v>
      </c>
      <c r="J141" s="164">
        <f t="shared" si="55"/>
        <v>11.5</v>
      </c>
      <c r="K141" s="166">
        <f t="shared" si="55"/>
        <v>0</v>
      </c>
      <c r="L141" s="164">
        <f t="shared" si="55"/>
        <v>11.5</v>
      </c>
      <c r="M141" s="164">
        <f t="shared" si="55"/>
        <v>11.5</v>
      </c>
      <c r="N141" s="164">
        <f t="shared" si="55"/>
        <v>11.5</v>
      </c>
      <c r="O141" s="164">
        <f t="shared" si="55"/>
        <v>11.5</v>
      </c>
      <c r="P141" s="164">
        <f t="shared" si="55"/>
        <v>11.5</v>
      </c>
      <c r="Q141" s="164">
        <f t="shared" si="55"/>
        <v>11.5</v>
      </c>
      <c r="R141" s="164">
        <f t="shared" si="55"/>
        <v>11.5</v>
      </c>
      <c r="S141" s="164">
        <f t="shared" si="55"/>
        <v>11.5</v>
      </c>
      <c r="T141" s="164">
        <f t="shared" si="55"/>
        <v>11.5</v>
      </c>
      <c r="U141" s="164">
        <f t="shared" si="55"/>
        <v>11.5</v>
      </c>
      <c r="V141" s="164">
        <f t="shared" si="55"/>
        <v>11.5</v>
      </c>
      <c r="W141" s="164">
        <f t="shared" si="55"/>
        <v>11.5</v>
      </c>
      <c r="X141" s="164">
        <f t="shared" si="55"/>
        <v>11.5</v>
      </c>
      <c r="Y141" s="164">
        <f t="shared" si="55"/>
        <v>11.5</v>
      </c>
      <c r="Z141" s="164">
        <f t="shared" si="55"/>
        <v>11.5</v>
      </c>
      <c r="AA141" s="164">
        <f t="shared" si="55"/>
        <v>11.5</v>
      </c>
      <c r="AB141" s="166">
        <f t="shared" si="55"/>
        <v>0</v>
      </c>
      <c r="AC141" s="167">
        <f>SUM(C141:AB141)</f>
        <v>276</v>
      </c>
      <c r="AE141" s="136" t="s">
        <v>20</v>
      </c>
      <c r="AG141" s="136">
        <f>AC142*AG140</f>
        <v>778.97534789784106</v>
      </c>
    </row>
    <row r="142" spans="1:41" ht="27.75" customHeight="1" x14ac:dyDescent="0.4">
      <c r="A142" s="168"/>
      <c r="B142" s="169" t="s">
        <v>21</v>
      </c>
      <c r="C142" s="170">
        <f t="shared" ref="C142:AB142" si="56">IF(C139&gt;0,C140-C141,0)</f>
        <v>2.0135135135135123</v>
      </c>
      <c r="D142" s="170">
        <f t="shared" si="56"/>
        <v>-0.58333333333333393</v>
      </c>
      <c r="E142" s="170">
        <f t="shared" si="56"/>
        <v>1.8108108108108105</v>
      </c>
      <c r="F142" s="170">
        <f t="shared" si="56"/>
        <v>2.0669191919191938</v>
      </c>
      <c r="G142" s="170">
        <f t="shared" si="56"/>
        <v>-1.9611111111111104</v>
      </c>
      <c r="H142" s="170">
        <f t="shared" si="56"/>
        <v>1.9499999999999993</v>
      </c>
      <c r="I142" s="170">
        <f t="shared" si="56"/>
        <v>1.9642857142857135</v>
      </c>
      <c r="J142" s="170">
        <f t="shared" si="56"/>
        <v>1.3917910447761184</v>
      </c>
      <c r="K142" s="172">
        <f t="shared" si="56"/>
        <v>0</v>
      </c>
      <c r="L142" s="170">
        <f t="shared" si="56"/>
        <v>1.9487179487179489</v>
      </c>
      <c r="M142" s="170">
        <f t="shared" si="56"/>
        <v>2.1666666666666661</v>
      </c>
      <c r="N142" s="170">
        <f t="shared" si="56"/>
        <v>1.7111111111111104</v>
      </c>
      <c r="O142" s="170">
        <f t="shared" si="56"/>
        <v>2.4464285714285712</v>
      </c>
      <c r="P142" s="170">
        <f t="shared" si="56"/>
        <v>0.5</v>
      </c>
      <c r="Q142" s="170">
        <f t="shared" si="56"/>
        <v>1.6263232180663376</v>
      </c>
      <c r="R142" s="170">
        <f t="shared" si="56"/>
        <v>1.8666666666666671</v>
      </c>
      <c r="S142" s="170">
        <f t="shared" si="56"/>
        <v>3.6538461538461533</v>
      </c>
      <c r="T142" s="170">
        <f t="shared" si="56"/>
        <v>1.03125</v>
      </c>
      <c r="U142" s="170">
        <f t="shared" si="56"/>
        <v>2.2388888888888889</v>
      </c>
      <c r="V142" s="170">
        <f t="shared" si="56"/>
        <v>1.6666666666666661</v>
      </c>
      <c r="W142" s="170">
        <f t="shared" si="56"/>
        <v>1.4523809523809526</v>
      </c>
      <c r="X142" s="170">
        <f t="shared" si="56"/>
        <v>-0.66666666666666607</v>
      </c>
      <c r="Y142" s="170">
        <f t="shared" si="56"/>
        <v>1.6333333333333329</v>
      </c>
      <c r="Z142" s="170">
        <f t="shared" si="56"/>
        <v>-0.96428571428571352</v>
      </c>
      <c r="AA142" s="170">
        <f t="shared" si="56"/>
        <v>-1.8499999999999996</v>
      </c>
      <c r="AB142" s="172">
        <f t="shared" si="56"/>
        <v>0</v>
      </c>
      <c r="AC142" s="167">
        <f>SUM(C142:AB142)</f>
        <v>29.11420362768181</v>
      </c>
      <c r="AH142">
        <f>AF142/175</f>
        <v>0</v>
      </c>
    </row>
    <row r="143" spans="1:41" ht="27.75" customHeight="1" x14ac:dyDescent="0.4"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  <c r="AA143" s="167"/>
      <c r="AB143" s="167"/>
      <c r="AC143" s="167"/>
    </row>
    <row r="144" spans="1:41" ht="27.75" customHeight="1" x14ac:dyDescent="0.4"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  <c r="AA144" s="167"/>
      <c r="AB144" s="167"/>
      <c r="AC144" s="167"/>
    </row>
    <row r="145" spans="1:41" ht="27.75" customHeight="1" x14ac:dyDescent="0.4">
      <c r="C145" s="137">
        <v>1.06</v>
      </c>
      <c r="D145" s="138">
        <v>2.06</v>
      </c>
      <c r="E145" s="138">
        <v>3.06</v>
      </c>
      <c r="F145" s="138">
        <v>4.0599999999999996</v>
      </c>
      <c r="G145" s="138">
        <v>5.0599999999999996</v>
      </c>
      <c r="H145" s="138">
        <v>6.06</v>
      </c>
      <c r="I145" s="138">
        <v>8.06</v>
      </c>
      <c r="J145" s="138">
        <v>9.06</v>
      </c>
      <c r="K145" s="138">
        <v>10.06</v>
      </c>
      <c r="L145" s="138">
        <v>11.06</v>
      </c>
      <c r="M145" s="138">
        <v>12.06</v>
      </c>
      <c r="N145" s="138">
        <v>13.06</v>
      </c>
      <c r="O145" s="138">
        <v>15.06</v>
      </c>
      <c r="P145" s="138">
        <v>16.059999999999999</v>
      </c>
      <c r="Q145" s="140">
        <v>17.059999999999999</v>
      </c>
      <c r="R145" s="138">
        <v>18.059999999999999</v>
      </c>
      <c r="S145" s="139">
        <v>19.059999999999999</v>
      </c>
      <c r="T145" s="138">
        <v>20.059999999999999</v>
      </c>
      <c r="U145" s="138">
        <v>22.06</v>
      </c>
      <c r="V145" s="138">
        <v>23.06</v>
      </c>
      <c r="W145" s="138">
        <v>24.06</v>
      </c>
      <c r="X145" s="141">
        <v>25.06</v>
      </c>
      <c r="Y145" s="143">
        <v>26.06</v>
      </c>
      <c r="Z145" s="142">
        <v>27.06</v>
      </c>
      <c r="AA145" s="142">
        <v>29.06</v>
      </c>
      <c r="AB145" s="142">
        <v>30.06</v>
      </c>
      <c r="AC145" s="144" t="s">
        <v>1</v>
      </c>
      <c r="AD145" s="145" t="s">
        <v>2</v>
      </c>
      <c r="AE145" s="146" t="s">
        <v>3</v>
      </c>
      <c r="AF145" s="147" t="s">
        <v>4</v>
      </c>
      <c r="AG145" s="147" t="s">
        <v>5</v>
      </c>
      <c r="AH145" s="145" t="s">
        <v>6</v>
      </c>
      <c r="AI145" s="145" t="s">
        <v>7</v>
      </c>
      <c r="AJ145" s="148" t="s">
        <v>8</v>
      </c>
      <c r="AK145" s="145" t="s">
        <v>9</v>
      </c>
      <c r="AL145" s="145" t="s">
        <v>10</v>
      </c>
      <c r="AM145" s="149" t="s">
        <v>11</v>
      </c>
      <c r="AN145" s="145" t="s">
        <v>12</v>
      </c>
      <c r="AO145" s="150" t="s">
        <v>13</v>
      </c>
    </row>
    <row r="146" spans="1:41" ht="42.75" customHeight="1" x14ac:dyDescent="0.6">
      <c r="A146" s="175">
        <v>14</v>
      </c>
      <c r="B146" s="177" t="s">
        <v>50</v>
      </c>
      <c r="C146" s="153">
        <v>200</v>
      </c>
      <c r="D146" s="153">
        <v>163.75</v>
      </c>
      <c r="E146" s="154">
        <v>197</v>
      </c>
      <c r="F146" s="153">
        <f>177.75+8/6</f>
        <v>179.08333333333334</v>
      </c>
      <c r="G146" s="153">
        <f>136.75+38/6</f>
        <v>143.08333333333334</v>
      </c>
      <c r="H146" s="153">
        <v>201.75</v>
      </c>
      <c r="I146" s="153">
        <v>188.5</v>
      </c>
      <c r="J146" s="153">
        <v>172.75</v>
      </c>
      <c r="K146" s="153">
        <f>131+17/6</f>
        <v>133.83333333333334</v>
      </c>
      <c r="L146" s="153">
        <f>168.5+38/6</f>
        <v>174.83333333333334</v>
      </c>
      <c r="M146" s="153">
        <v>205</v>
      </c>
      <c r="N146" s="153">
        <f>196.5+10/6</f>
        <v>198.16666666666666</v>
      </c>
      <c r="O146" s="153">
        <v>195.25</v>
      </c>
      <c r="P146" s="153">
        <v>171</v>
      </c>
      <c r="Q146" s="156">
        <v>0</v>
      </c>
      <c r="R146" s="153">
        <v>200.5</v>
      </c>
      <c r="S146" s="155">
        <v>130</v>
      </c>
      <c r="T146" s="153">
        <v>200.5</v>
      </c>
      <c r="U146" s="153">
        <f>205.25+5/6</f>
        <v>206.08333333333334</v>
      </c>
      <c r="V146" s="153">
        <v>197.5</v>
      </c>
      <c r="W146" s="153">
        <f>171.5+59/6</f>
        <v>181.33333333333334</v>
      </c>
      <c r="X146" s="153">
        <v>162.5</v>
      </c>
      <c r="Y146" s="156">
        <v>0</v>
      </c>
      <c r="Z146" s="153">
        <v>147.5</v>
      </c>
      <c r="AA146" s="153">
        <v>144.75</v>
      </c>
      <c r="AB146" s="153">
        <f>149.5+14/6</f>
        <v>151.83333333333334</v>
      </c>
      <c r="AC146" s="157">
        <f>SUM(C146:AB146)</f>
        <v>4246.5</v>
      </c>
      <c r="AD146" s="158">
        <f>COUNTIF(C147:AB147,"&gt;0")</f>
        <v>24</v>
      </c>
      <c r="AE146" s="158">
        <f>AD146*$AE$11</f>
        <v>4080</v>
      </c>
      <c r="AF146" s="158">
        <f>AC146-AE146</f>
        <v>166.5</v>
      </c>
      <c r="AG146" s="158">
        <f>$AG$11</f>
        <v>26</v>
      </c>
      <c r="AH146" s="158">
        <f>AF146/175</f>
        <v>0.9514285714285714</v>
      </c>
      <c r="AI146" s="158">
        <f>AK146/AG146</f>
        <v>288.46153846153845</v>
      </c>
      <c r="AJ146" s="159">
        <f>AI146*AH146</f>
        <v>274.45054945054943</v>
      </c>
      <c r="AK146" s="158">
        <v>7500</v>
      </c>
      <c r="AL146" s="160">
        <f>AK146+AJ146</f>
        <v>7774.4505494505493</v>
      </c>
      <c r="AM146" s="167" t="s">
        <v>50</v>
      </c>
      <c r="AN146" s="178"/>
      <c r="AO146" s="179" t="s">
        <v>51</v>
      </c>
    </row>
    <row r="147" spans="1:41" ht="27.75" customHeight="1" x14ac:dyDescent="0.4">
      <c r="A147" s="163"/>
      <c r="B147" s="136" t="s">
        <v>16</v>
      </c>
      <c r="C147" s="164">
        <v>14.8</v>
      </c>
      <c r="D147" s="164">
        <v>15</v>
      </c>
      <c r="E147" s="164">
        <v>14.8</v>
      </c>
      <c r="F147" s="164">
        <v>13.2</v>
      </c>
      <c r="G147" s="164">
        <v>15</v>
      </c>
      <c r="H147" s="164">
        <v>15</v>
      </c>
      <c r="I147" s="164">
        <v>14</v>
      </c>
      <c r="J147" s="164">
        <v>13.4</v>
      </c>
      <c r="K147" s="164">
        <v>14</v>
      </c>
      <c r="L147" s="164">
        <v>13</v>
      </c>
      <c r="M147" s="164">
        <v>15</v>
      </c>
      <c r="N147" s="164">
        <v>15</v>
      </c>
      <c r="O147" s="164">
        <v>14</v>
      </c>
      <c r="P147" s="164">
        <v>14.25</v>
      </c>
      <c r="Q147" s="166">
        <v>0</v>
      </c>
      <c r="R147" s="164">
        <v>15</v>
      </c>
      <c r="S147" s="165">
        <v>13</v>
      </c>
      <c r="T147" s="164">
        <v>16</v>
      </c>
      <c r="U147" s="164">
        <v>15</v>
      </c>
      <c r="V147" s="164">
        <v>15</v>
      </c>
      <c r="W147" s="164">
        <v>14</v>
      </c>
      <c r="X147" s="164">
        <v>15</v>
      </c>
      <c r="Y147" s="166">
        <v>0</v>
      </c>
      <c r="Z147" s="164">
        <v>14</v>
      </c>
      <c r="AA147" s="164">
        <v>15</v>
      </c>
      <c r="AB147" s="164">
        <v>14</v>
      </c>
    </row>
    <row r="148" spans="1:41" ht="27.75" customHeight="1" x14ac:dyDescent="0.4">
      <c r="A148" s="163"/>
      <c r="B148" s="136" t="s">
        <v>17</v>
      </c>
      <c r="C148" s="164">
        <f t="shared" ref="C148:AB148" si="57">IF(C147&gt;0,C146/C147,0)</f>
        <v>13.513513513513512</v>
      </c>
      <c r="D148" s="164">
        <f t="shared" si="57"/>
        <v>10.916666666666666</v>
      </c>
      <c r="E148" s="164">
        <f t="shared" si="57"/>
        <v>13.310810810810811</v>
      </c>
      <c r="F148" s="164">
        <f t="shared" si="57"/>
        <v>13.566919191919194</v>
      </c>
      <c r="G148" s="164">
        <f t="shared" si="57"/>
        <v>9.5388888888888896</v>
      </c>
      <c r="H148" s="164">
        <f t="shared" si="57"/>
        <v>13.45</v>
      </c>
      <c r="I148" s="164">
        <f t="shared" si="57"/>
        <v>13.464285714285714</v>
      </c>
      <c r="J148" s="164">
        <f t="shared" si="57"/>
        <v>12.891791044776118</v>
      </c>
      <c r="K148" s="164">
        <f t="shared" si="57"/>
        <v>9.5595238095238102</v>
      </c>
      <c r="L148" s="164">
        <f t="shared" si="57"/>
        <v>13.448717948717949</v>
      </c>
      <c r="M148" s="164">
        <f t="shared" si="57"/>
        <v>13.666666666666666</v>
      </c>
      <c r="N148" s="164">
        <f t="shared" si="57"/>
        <v>13.21111111111111</v>
      </c>
      <c r="O148" s="164">
        <f t="shared" si="57"/>
        <v>13.946428571428571</v>
      </c>
      <c r="P148" s="164">
        <f t="shared" si="57"/>
        <v>12</v>
      </c>
      <c r="Q148" s="166">
        <f t="shared" si="57"/>
        <v>0</v>
      </c>
      <c r="R148" s="164">
        <f t="shared" si="57"/>
        <v>13.366666666666667</v>
      </c>
      <c r="S148" s="165">
        <f t="shared" si="57"/>
        <v>10</v>
      </c>
      <c r="T148" s="164">
        <f t="shared" si="57"/>
        <v>12.53125</v>
      </c>
      <c r="U148" s="164">
        <f t="shared" si="57"/>
        <v>13.738888888888889</v>
      </c>
      <c r="V148" s="164">
        <f t="shared" si="57"/>
        <v>13.166666666666666</v>
      </c>
      <c r="W148" s="164">
        <f t="shared" si="57"/>
        <v>12.952380952380953</v>
      </c>
      <c r="X148" s="164">
        <f t="shared" si="57"/>
        <v>10.833333333333334</v>
      </c>
      <c r="Y148" s="166">
        <f t="shared" si="57"/>
        <v>0</v>
      </c>
      <c r="Z148" s="164">
        <f t="shared" si="57"/>
        <v>10.535714285714286</v>
      </c>
      <c r="AA148" s="164">
        <f t="shared" si="57"/>
        <v>9.65</v>
      </c>
      <c r="AB148" s="164">
        <f t="shared" si="57"/>
        <v>10.845238095238097</v>
      </c>
      <c r="AC148" s="167">
        <f>SUM(C148:AB148)</f>
        <v>294.10546282719787</v>
      </c>
      <c r="AE148" s="136" t="s">
        <v>18</v>
      </c>
      <c r="AG148" s="136">
        <f>AI146/11.5</f>
        <v>25.083612040133779</v>
      </c>
    </row>
    <row r="149" spans="1:41" ht="27.75" customHeight="1" x14ac:dyDescent="0.4">
      <c r="A149" s="163"/>
      <c r="B149" s="136" t="s">
        <v>19</v>
      </c>
      <c r="C149" s="164">
        <f t="shared" ref="C149:AB149" si="58">IF(C147&gt;0,11.5,0)</f>
        <v>11.5</v>
      </c>
      <c r="D149" s="164">
        <f t="shared" si="58"/>
        <v>11.5</v>
      </c>
      <c r="E149" s="164">
        <f t="shared" si="58"/>
        <v>11.5</v>
      </c>
      <c r="F149" s="164">
        <f t="shared" si="58"/>
        <v>11.5</v>
      </c>
      <c r="G149" s="164">
        <f t="shared" si="58"/>
        <v>11.5</v>
      </c>
      <c r="H149" s="164">
        <f t="shared" si="58"/>
        <v>11.5</v>
      </c>
      <c r="I149" s="164">
        <f t="shared" si="58"/>
        <v>11.5</v>
      </c>
      <c r="J149" s="164">
        <f t="shared" si="58"/>
        <v>11.5</v>
      </c>
      <c r="K149" s="164">
        <f t="shared" si="58"/>
        <v>11.5</v>
      </c>
      <c r="L149" s="164">
        <f t="shared" si="58"/>
        <v>11.5</v>
      </c>
      <c r="M149" s="164">
        <f t="shared" si="58"/>
        <v>11.5</v>
      </c>
      <c r="N149" s="164">
        <f t="shared" si="58"/>
        <v>11.5</v>
      </c>
      <c r="O149" s="164">
        <f t="shared" si="58"/>
        <v>11.5</v>
      </c>
      <c r="P149" s="164">
        <f t="shared" si="58"/>
        <v>11.5</v>
      </c>
      <c r="Q149" s="166">
        <f t="shared" si="58"/>
        <v>0</v>
      </c>
      <c r="R149" s="164">
        <f t="shared" si="58"/>
        <v>11.5</v>
      </c>
      <c r="S149" s="165">
        <f t="shared" si="58"/>
        <v>11.5</v>
      </c>
      <c r="T149" s="164">
        <f t="shared" si="58"/>
        <v>11.5</v>
      </c>
      <c r="U149" s="164">
        <f t="shared" si="58"/>
        <v>11.5</v>
      </c>
      <c r="V149" s="164">
        <f t="shared" si="58"/>
        <v>11.5</v>
      </c>
      <c r="W149" s="164">
        <f t="shared" si="58"/>
        <v>11.5</v>
      </c>
      <c r="X149" s="164">
        <f t="shared" si="58"/>
        <v>11.5</v>
      </c>
      <c r="Y149" s="166">
        <f t="shared" si="58"/>
        <v>0</v>
      </c>
      <c r="Z149" s="164">
        <f t="shared" si="58"/>
        <v>11.5</v>
      </c>
      <c r="AA149" s="164">
        <f t="shared" si="58"/>
        <v>11.5</v>
      </c>
      <c r="AB149" s="164">
        <f t="shared" si="58"/>
        <v>11.5</v>
      </c>
      <c r="AC149" s="167">
        <f>SUM(C149:AB149)</f>
        <v>276</v>
      </c>
      <c r="AE149" s="136" t="s">
        <v>20</v>
      </c>
      <c r="AG149" s="136">
        <f>AC150*AG148</f>
        <v>454.15040536449555</v>
      </c>
    </row>
    <row r="150" spans="1:41" ht="27.75" customHeight="1" x14ac:dyDescent="0.4">
      <c r="A150" s="168"/>
      <c r="B150" s="169" t="s">
        <v>21</v>
      </c>
      <c r="C150" s="170">
        <f t="shared" ref="C150:AB150" si="59">IF(C147&gt;0,C148-C149,0)</f>
        <v>2.0135135135135123</v>
      </c>
      <c r="D150" s="170">
        <f t="shared" si="59"/>
        <v>-0.58333333333333393</v>
      </c>
      <c r="E150" s="170">
        <f t="shared" si="59"/>
        <v>1.8108108108108105</v>
      </c>
      <c r="F150" s="170">
        <f t="shared" si="59"/>
        <v>2.0669191919191938</v>
      </c>
      <c r="G150" s="170">
        <f t="shared" si="59"/>
        <v>-1.9611111111111104</v>
      </c>
      <c r="H150" s="170">
        <f t="shared" si="59"/>
        <v>1.9499999999999993</v>
      </c>
      <c r="I150" s="170">
        <f t="shared" si="59"/>
        <v>1.9642857142857135</v>
      </c>
      <c r="J150" s="170">
        <f t="shared" si="59"/>
        <v>1.3917910447761184</v>
      </c>
      <c r="K150" s="170">
        <f t="shared" si="59"/>
        <v>-1.9404761904761898</v>
      </c>
      <c r="L150" s="170">
        <f t="shared" si="59"/>
        <v>1.9487179487179489</v>
      </c>
      <c r="M150" s="170">
        <f t="shared" si="59"/>
        <v>2.1666666666666661</v>
      </c>
      <c r="N150" s="170">
        <f t="shared" si="59"/>
        <v>1.7111111111111104</v>
      </c>
      <c r="O150" s="170">
        <f t="shared" si="59"/>
        <v>2.4464285714285712</v>
      </c>
      <c r="P150" s="170">
        <f t="shared" si="59"/>
        <v>0.5</v>
      </c>
      <c r="Q150" s="172">
        <f t="shared" si="59"/>
        <v>0</v>
      </c>
      <c r="R150" s="170">
        <f t="shared" si="59"/>
        <v>1.8666666666666671</v>
      </c>
      <c r="S150" s="171">
        <f t="shared" si="59"/>
        <v>-1.5</v>
      </c>
      <c r="T150" s="170">
        <f t="shared" si="59"/>
        <v>1.03125</v>
      </c>
      <c r="U150" s="170">
        <f t="shared" si="59"/>
        <v>2.2388888888888889</v>
      </c>
      <c r="V150" s="170">
        <f t="shared" si="59"/>
        <v>1.6666666666666661</v>
      </c>
      <c r="W150" s="170">
        <f t="shared" si="59"/>
        <v>1.4523809523809526</v>
      </c>
      <c r="X150" s="170">
        <f t="shared" si="59"/>
        <v>-0.66666666666666607</v>
      </c>
      <c r="Y150" s="172">
        <f t="shared" si="59"/>
        <v>0</v>
      </c>
      <c r="Z150" s="170">
        <f t="shared" si="59"/>
        <v>-0.96428571428571352</v>
      </c>
      <c r="AA150" s="170">
        <f t="shared" si="59"/>
        <v>-1.8499999999999996</v>
      </c>
      <c r="AB150" s="170">
        <f t="shared" si="59"/>
        <v>-0.65476190476190332</v>
      </c>
      <c r="AC150" s="167">
        <f>SUM(C150:AB150)</f>
        <v>18.10546282719789</v>
      </c>
      <c r="AH150">
        <f>AF150/175</f>
        <v>0</v>
      </c>
    </row>
    <row r="151" spans="1:41" ht="27.75" customHeight="1" x14ac:dyDescent="0.4"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  <c r="AA151" s="167"/>
      <c r="AB151" s="167"/>
      <c r="AC151" s="167"/>
    </row>
    <row r="152" spans="1:41" ht="27.75" customHeight="1" x14ac:dyDescent="0.3"/>
    <row r="153" spans="1:41" ht="30.75" customHeight="1" x14ac:dyDescent="0.4">
      <c r="B153" s="136" t="s">
        <v>52</v>
      </c>
      <c r="C153" s="137">
        <v>1.06</v>
      </c>
      <c r="D153" s="138">
        <v>2.06</v>
      </c>
      <c r="E153" s="138">
        <v>3.06</v>
      </c>
      <c r="F153" s="140">
        <v>4.0599999999999996</v>
      </c>
      <c r="G153" s="138">
        <v>5.0599999999999996</v>
      </c>
      <c r="H153" s="138">
        <v>6.06</v>
      </c>
      <c r="I153" s="138">
        <v>8.06</v>
      </c>
      <c r="J153" s="138">
        <v>9.06</v>
      </c>
      <c r="K153" s="138">
        <v>10.06</v>
      </c>
      <c r="L153" s="196">
        <v>11.06</v>
      </c>
      <c r="M153" s="138">
        <v>12.06</v>
      </c>
      <c r="N153" s="196">
        <v>13.06</v>
      </c>
      <c r="O153" s="138">
        <v>15.06</v>
      </c>
      <c r="P153" s="138">
        <v>16.059999999999999</v>
      </c>
      <c r="Q153" s="138">
        <v>17.059999999999999</v>
      </c>
      <c r="R153" s="138">
        <v>18.059999999999999</v>
      </c>
      <c r="S153" s="196">
        <v>19.059999999999999</v>
      </c>
      <c r="T153" s="138">
        <v>20.059999999999999</v>
      </c>
      <c r="U153" s="138">
        <v>22.06</v>
      </c>
      <c r="V153" s="139">
        <v>23.06</v>
      </c>
      <c r="W153" s="196">
        <v>24.06</v>
      </c>
      <c r="X153" s="141">
        <v>25.06</v>
      </c>
      <c r="Y153" s="142">
        <v>26.06</v>
      </c>
      <c r="Z153" s="142">
        <v>27.06</v>
      </c>
      <c r="AA153" s="142">
        <v>29.06</v>
      </c>
      <c r="AB153" s="142">
        <v>30.06</v>
      </c>
      <c r="AC153" s="144" t="s">
        <v>1</v>
      </c>
      <c r="AD153" s="145" t="s">
        <v>2</v>
      </c>
      <c r="AE153" s="146" t="s">
        <v>3</v>
      </c>
      <c r="AF153" s="147" t="s">
        <v>4</v>
      </c>
      <c r="AG153" s="147" t="s">
        <v>5</v>
      </c>
      <c r="AH153" s="145" t="s">
        <v>6</v>
      </c>
      <c r="AI153" s="145" t="s">
        <v>7</v>
      </c>
      <c r="AJ153" s="148" t="s">
        <v>8</v>
      </c>
      <c r="AK153" s="145" t="s">
        <v>9</v>
      </c>
      <c r="AL153" s="145" t="s">
        <v>10</v>
      </c>
      <c r="AM153" s="149" t="s">
        <v>11</v>
      </c>
      <c r="AN153" s="145" t="s">
        <v>12</v>
      </c>
      <c r="AO153" s="150" t="s">
        <v>13</v>
      </c>
    </row>
    <row r="154" spans="1:41" ht="39.75" customHeight="1" x14ac:dyDescent="0.6">
      <c r="A154" s="151">
        <v>15</v>
      </c>
      <c r="B154" s="189" t="s">
        <v>53</v>
      </c>
      <c r="C154" s="153">
        <v>200</v>
      </c>
      <c r="D154" s="153">
        <v>163.75</v>
      </c>
      <c r="E154" s="154">
        <v>197</v>
      </c>
      <c r="F154" s="156">
        <v>0</v>
      </c>
      <c r="G154" s="153">
        <f>136.75+38/6</f>
        <v>143.08333333333334</v>
      </c>
      <c r="H154" s="153">
        <v>201.75</v>
      </c>
      <c r="I154" s="153">
        <v>188.5</v>
      </c>
      <c r="J154" s="153">
        <v>172.75</v>
      </c>
      <c r="K154" s="153">
        <f>131+17/6</f>
        <v>133.83333333333334</v>
      </c>
      <c r="L154" s="195">
        <v>0</v>
      </c>
      <c r="M154" s="153">
        <v>205</v>
      </c>
      <c r="N154" s="195">
        <v>0</v>
      </c>
      <c r="O154" s="153">
        <v>195.25</v>
      </c>
      <c r="P154" s="153">
        <v>171</v>
      </c>
      <c r="Q154" s="153">
        <v>186</v>
      </c>
      <c r="R154" s="153">
        <v>200.5</v>
      </c>
      <c r="S154" s="195">
        <v>0</v>
      </c>
      <c r="T154" s="153">
        <v>200.5</v>
      </c>
      <c r="U154" s="153">
        <f>205.25+5/6</f>
        <v>206.08333333333334</v>
      </c>
      <c r="V154" s="155">
        <v>197.5</v>
      </c>
      <c r="W154" s="195">
        <v>0</v>
      </c>
      <c r="X154" s="153">
        <v>162.5</v>
      </c>
      <c r="Y154" s="153">
        <f>190+42/6</f>
        <v>197</v>
      </c>
      <c r="Z154" s="153">
        <v>147.5</v>
      </c>
      <c r="AA154" s="153">
        <v>144.75</v>
      </c>
      <c r="AB154" s="153">
        <f>149.5+14/6</f>
        <v>151.83333333333334</v>
      </c>
      <c r="AC154" s="157">
        <f>SUM(C154:AB154)</f>
        <v>3766.0833333333339</v>
      </c>
      <c r="AD154" s="158">
        <v>21</v>
      </c>
      <c r="AE154" s="158">
        <f>AD154*$AE$11</f>
        <v>3570</v>
      </c>
      <c r="AF154" s="158">
        <f>AC154-AE154</f>
        <v>196.08333333333394</v>
      </c>
      <c r="AG154" s="158">
        <f>$AG$11</f>
        <v>26</v>
      </c>
      <c r="AH154" s="158">
        <f>AF154/175</f>
        <v>1.120476190476194</v>
      </c>
      <c r="AI154" s="158">
        <f>AK154/AG154</f>
        <v>365.38461538461536</v>
      </c>
      <c r="AJ154" s="159">
        <f>AI154*AH154</f>
        <v>409.40476190476312</v>
      </c>
      <c r="AK154" s="158">
        <v>9500</v>
      </c>
      <c r="AL154" s="160">
        <f>AK154+AJ154</f>
        <v>9909.4047619047633</v>
      </c>
      <c r="AM154" s="189" t="s">
        <v>53</v>
      </c>
      <c r="AN154" s="178"/>
      <c r="AO154" s="179" t="s">
        <v>54</v>
      </c>
    </row>
    <row r="155" spans="1:41" ht="27.75" customHeight="1" x14ac:dyDescent="0.4">
      <c r="A155" s="163"/>
      <c r="B155" s="136" t="s">
        <v>16</v>
      </c>
      <c r="C155" s="164">
        <v>14.8</v>
      </c>
      <c r="D155" s="164">
        <v>15</v>
      </c>
      <c r="E155" s="164">
        <v>14.8</v>
      </c>
      <c r="F155" s="166">
        <v>0</v>
      </c>
      <c r="G155" s="164">
        <v>15</v>
      </c>
      <c r="H155" s="164">
        <v>15</v>
      </c>
      <c r="I155" s="164">
        <v>14</v>
      </c>
      <c r="J155" s="164">
        <v>13.4</v>
      </c>
      <c r="K155" s="164">
        <v>14</v>
      </c>
      <c r="L155" s="197">
        <v>13</v>
      </c>
      <c r="M155" s="164">
        <v>15</v>
      </c>
      <c r="N155" s="197">
        <v>15</v>
      </c>
      <c r="O155" s="164">
        <v>14</v>
      </c>
      <c r="P155" s="164">
        <v>14.25</v>
      </c>
      <c r="Q155" s="164">
        <v>14.17</v>
      </c>
      <c r="R155" s="164">
        <v>15</v>
      </c>
      <c r="S155" s="197">
        <v>13</v>
      </c>
      <c r="T155" s="164">
        <v>16</v>
      </c>
      <c r="U155" s="164">
        <v>15</v>
      </c>
      <c r="V155" s="165">
        <v>15</v>
      </c>
      <c r="W155" s="197">
        <v>14</v>
      </c>
      <c r="X155" s="164">
        <v>15</v>
      </c>
      <c r="Y155" s="164">
        <v>15</v>
      </c>
      <c r="Z155" s="164">
        <v>14</v>
      </c>
      <c r="AA155" s="164">
        <v>15</v>
      </c>
      <c r="AB155" s="164">
        <v>14</v>
      </c>
    </row>
    <row r="156" spans="1:41" ht="27.75" customHeight="1" x14ac:dyDescent="0.4">
      <c r="A156" s="163"/>
      <c r="B156" s="136" t="s">
        <v>17</v>
      </c>
      <c r="C156" s="164">
        <f t="shared" ref="C156:AB156" si="60">IF(C155&gt;0,C154/C155,0)</f>
        <v>13.513513513513512</v>
      </c>
      <c r="D156" s="164">
        <f t="shared" si="60"/>
        <v>10.916666666666666</v>
      </c>
      <c r="E156" s="164">
        <f t="shared" si="60"/>
        <v>13.310810810810811</v>
      </c>
      <c r="F156" s="166">
        <f t="shared" si="60"/>
        <v>0</v>
      </c>
      <c r="G156" s="164">
        <f t="shared" si="60"/>
        <v>9.5388888888888896</v>
      </c>
      <c r="H156" s="164">
        <f t="shared" si="60"/>
        <v>13.45</v>
      </c>
      <c r="I156" s="164">
        <f t="shared" si="60"/>
        <v>13.464285714285714</v>
      </c>
      <c r="J156" s="164">
        <f t="shared" si="60"/>
        <v>12.891791044776118</v>
      </c>
      <c r="K156" s="164">
        <f t="shared" si="60"/>
        <v>9.5595238095238102</v>
      </c>
      <c r="L156" s="197">
        <f t="shared" si="60"/>
        <v>0</v>
      </c>
      <c r="M156" s="164">
        <f t="shared" si="60"/>
        <v>13.666666666666666</v>
      </c>
      <c r="N156" s="197">
        <f t="shared" si="60"/>
        <v>0</v>
      </c>
      <c r="O156" s="164">
        <f t="shared" si="60"/>
        <v>13.946428571428571</v>
      </c>
      <c r="P156" s="164">
        <f t="shared" si="60"/>
        <v>12</v>
      </c>
      <c r="Q156" s="164">
        <f t="shared" si="60"/>
        <v>13.126323218066338</v>
      </c>
      <c r="R156" s="164">
        <f t="shared" si="60"/>
        <v>13.366666666666667</v>
      </c>
      <c r="S156" s="197">
        <f t="shared" si="60"/>
        <v>0</v>
      </c>
      <c r="T156" s="164">
        <f t="shared" si="60"/>
        <v>12.53125</v>
      </c>
      <c r="U156" s="164">
        <f t="shared" si="60"/>
        <v>13.738888888888889</v>
      </c>
      <c r="V156" s="165">
        <f t="shared" si="60"/>
        <v>13.166666666666666</v>
      </c>
      <c r="W156" s="197">
        <f t="shared" si="60"/>
        <v>0</v>
      </c>
      <c r="X156" s="164">
        <f t="shared" si="60"/>
        <v>10.833333333333334</v>
      </c>
      <c r="Y156" s="164">
        <f t="shared" si="60"/>
        <v>13.133333333333333</v>
      </c>
      <c r="Z156" s="164">
        <f t="shared" si="60"/>
        <v>10.535714285714286</v>
      </c>
      <c r="AA156" s="164">
        <f t="shared" si="60"/>
        <v>9.65</v>
      </c>
      <c r="AB156" s="164">
        <f t="shared" si="60"/>
        <v>10.845238095238097</v>
      </c>
      <c r="AC156" s="167">
        <f>SUM(C156:AB156)</f>
        <v>257.18599017446837</v>
      </c>
      <c r="AE156" s="136" t="s">
        <v>18</v>
      </c>
      <c r="AG156" s="136">
        <f>AI154/11.5</f>
        <v>31.77257525083612</v>
      </c>
    </row>
    <row r="157" spans="1:41" ht="27.75" customHeight="1" x14ac:dyDescent="0.4">
      <c r="A157" s="163"/>
      <c r="B157" s="136" t="s">
        <v>19</v>
      </c>
      <c r="C157" s="164">
        <f t="shared" ref="C157:AB157" si="61">IF(C155&gt;0,11.5,0)</f>
        <v>11.5</v>
      </c>
      <c r="D157" s="164">
        <f t="shared" si="61"/>
        <v>11.5</v>
      </c>
      <c r="E157" s="164">
        <f t="shared" si="61"/>
        <v>11.5</v>
      </c>
      <c r="F157" s="166">
        <f t="shared" si="61"/>
        <v>0</v>
      </c>
      <c r="G157" s="164">
        <f t="shared" si="61"/>
        <v>11.5</v>
      </c>
      <c r="H157" s="164">
        <f t="shared" si="61"/>
        <v>11.5</v>
      </c>
      <c r="I157" s="164">
        <f t="shared" si="61"/>
        <v>11.5</v>
      </c>
      <c r="J157" s="164">
        <f t="shared" si="61"/>
        <v>11.5</v>
      </c>
      <c r="K157" s="164">
        <f t="shared" si="61"/>
        <v>11.5</v>
      </c>
      <c r="L157" s="197">
        <v>0</v>
      </c>
      <c r="M157" s="164">
        <f t="shared" si="61"/>
        <v>11.5</v>
      </c>
      <c r="N157" s="197">
        <v>0</v>
      </c>
      <c r="O157" s="164">
        <f t="shared" si="61"/>
        <v>11.5</v>
      </c>
      <c r="P157" s="164">
        <f t="shared" si="61"/>
        <v>11.5</v>
      </c>
      <c r="Q157" s="164">
        <f t="shared" si="61"/>
        <v>11.5</v>
      </c>
      <c r="R157" s="164">
        <f t="shared" si="61"/>
        <v>11.5</v>
      </c>
      <c r="S157" s="197">
        <v>0</v>
      </c>
      <c r="T157" s="164">
        <f t="shared" si="61"/>
        <v>11.5</v>
      </c>
      <c r="U157" s="164">
        <f t="shared" si="61"/>
        <v>11.5</v>
      </c>
      <c r="V157" s="165">
        <f t="shared" si="61"/>
        <v>11.5</v>
      </c>
      <c r="W157" s="197">
        <v>0</v>
      </c>
      <c r="X157" s="164">
        <f t="shared" si="61"/>
        <v>11.5</v>
      </c>
      <c r="Y157" s="164">
        <f t="shared" si="61"/>
        <v>11.5</v>
      </c>
      <c r="Z157" s="164">
        <f t="shared" si="61"/>
        <v>11.5</v>
      </c>
      <c r="AA157" s="164">
        <f t="shared" si="61"/>
        <v>11.5</v>
      </c>
      <c r="AB157" s="164">
        <f t="shared" si="61"/>
        <v>11.5</v>
      </c>
      <c r="AC157" s="167">
        <f>SUM(C157:AB157)</f>
        <v>241.5</v>
      </c>
      <c r="AE157" s="136" t="s">
        <v>20</v>
      </c>
      <c r="AG157" s="136">
        <f>AC158*AG156</f>
        <v>498.38430320217219</v>
      </c>
    </row>
    <row r="158" spans="1:41" ht="27.75" customHeight="1" x14ac:dyDescent="0.4">
      <c r="A158" s="168"/>
      <c r="B158" s="169" t="s">
        <v>21</v>
      </c>
      <c r="C158" s="170">
        <f t="shared" ref="C158:AB158" si="62">IF(C155&gt;0,C156-C157,0)</f>
        <v>2.0135135135135123</v>
      </c>
      <c r="D158" s="170">
        <f t="shared" si="62"/>
        <v>-0.58333333333333393</v>
      </c>
      <c r="E158" s="170">
        <f t="shared" si="62"/>
        <v>1.8108108108108105</v>
      </c>
      <c r="F158" s="172">
        <f t="shared" si="62"/>
        <v>0</v>
      </c>
      <c r="G158" s="170">
        <f t="shared" si="62"/>
        <v>-1.9611111111111104</v>
      </c>
      <c r="H158" s="170">
        <f t="shared" si="62"/>
        <v>1.9499999999999993</v>
      </c>
      <c r="I158" s="170">
        <f t="shared" si="62"/>
        <v>1.9642857142857135</v>
      </c>
      <c r="J158" s="170">
        <f t="shared" si="62"/>
        <v>1.3917910447761184</v>
      </c>
      <c r="K158" s="170">
        <f t="shared" si="62"/>
        <v>-1.9404761904761898</v>
      </c>
      <c r="L158" s="198">
        <f t="shared" si="62"/>
        <v>0</v>
      </c>
      <c r="M158" s="170">
        <f t="shared" si="62"/>
        <v>2.1666666666666661</v>
      </c>
      <c r="N158" s="198">
        <f t="shared" si="62"/>
        <v>0</v>
      </c>
      <c r="O158" s="170">
        <f t="shared" si="62"/>
        <v>2.4464285714285712</v>
      </c>
      <c r="P158" s="170">
        <f t="shared" si="62"/>
        <v>0.5</v>
      </c>
      <c r="Q158" s="170">
        <f t="shared" si="62"/>
        <v>1.6263232180663376</v>
      </c>
      <c r="R158" s="170">
        <f t="shared" si="62"/>
        <v>1.8666666666666671</v>
      </c>
      <c r="S158" s="198">
        <f t="shared" si="62"/>
        <v>0</v>
      </c>
      <c r="T158" s="170">
        <f t="shared" si="62"/>
        <v>1.03125</v>
      </c>
      <c r="U158" s="170">
        <f t="shared" si="62"/>
        <v>2.2388888888888889</v>
      </c>
      <c r="V158" s="171">
        <f t="shared" si="62"/>
        <v>1.6666666666666661</v>
      </c>
      <c r="W158" s="198">
        <f t="shared" si="62"/>
        <v>0</v>
      </c>
      <c r="X158" s="170">
        <f t="shared" si="62"/>
        <v>-0.66666666666666607</v>
      </c>
      <c r="Y158" s="170">
        <f t="shared" si="62"/>
        <v>1.6333333333333329</v>
      </c>
      <c r="Z158" s="170">
        <f t="shared" si="62"/>
        <v>-0.96428571428571352</v>
      </c>
      <c r="AA158" s="170">
        <f t="shared" si="62"/>
        <v>-1.8499999999999996</v>
      </c>
      <c r="AB158" s="170">
        <f t="shared" si="62"/>
        <v>-0.65476190476190332</v>
      </c>
      <c r="AC158" s="167">
        <f>SUM(C158:AB158)</f>
        <v>15.685990174468367</v>
      </c>
      <c r="AH158">
        <f>AF158/175</f>
        <v>0</v>
      </c>
    </row>
    <row r="159" spans="1:41" ht="27.75" customHeight="1" x14ac:dyDescent="0.3"/>
    <row r="160" spans="1:41" ht="27.75" customHeight="1" x14ac:dyDescent="0.4"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  <c r="AA160" s="167"/>
      <c r="AB160" s="167"/>
      <c r="AC160" s="167"/>
    </row>
    <row r="161" spans="1:41" ht="27.75" customHeight="1" x14ac:dyDescent="0.4"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  <c r="AA161" s="167"/>
      <c r="AB161" s="167"/>
      <c r="AC161" s="167"/>
    </row>
    <row r="162" spans="1:41" ht="27.75" customHeight="1" x14ac:dyDescent="0.4">
      <c r="B162" s="136" t="s">
        <v>55</v>
      </c>
      <c r="C162" s="137">
        <v>1.06</v>
      </c>
      <c r="D162" s="138">
        <v>2.06</v>
      </c>
      <c r="E162" s="138">
        <v>3.06</v>
      </c>
      <c r="F162" s="138">
        <v>4.0599999999999996</v>
      </c>
      <c r="G162" s="138">
        <v>5.0599999999999996</v>
      </c>
      <c r="H162" s="138">
        <v>6.06</v>
      </c>
      <c r="I162" s="138">
        <v>8.06</v>
      </c>
      <c r="J162" s="138">
        <v>9.06</v>
      </c>
      <c r="K162" s="138">
        <v>10.06</v>
      </c>
      <c r="L162" s="138">
        <v>11.06</v>
      </c>
      <c r="M162" s="138">
        <v>12.06</v>
      </c>
      <c r="N162" s="138">
        <v>13.06</v>
      </c>
      <c r="O162" s="138">
        <v>15.06</v>
      </c>
      <c r="P162" s="138">
        <v>16.059999999999999</v>
      </c>
      <c r="Q162" s="138">
        <v>17.059999999999999</v>
      </c>
      <c r="R162" s="138">
        <v>18.059999999999999</v>
      </c>
      <c r="S162" s="138">
        <v>19.059999999999999</v>
      </c>
      <c r="T162" s="138">
        <v>20.059999999999999</v>
      </c>
      <c r="U162" s="140">
        <v>22.06</v>
      </c>
      <c r="V162" s="138">
        <v>23.06</v>
      </c>
      <c r="W162" s="138">
        <v>24.06</v>
      </c>
      <c r="X162" s="141">
        <v>25.06</v>
      </c>
      <c r="Y162" s="142">
        <v>26.06</v>
      </c>
      <c r="Z162" s="142">
        <v>27.06</v>
      </c>
      <c r="AA162" s="142">
        <v>29.06</v>
      </c>
      <c r="AB162" s="142">
        <v>30.06</v>
      </c>
      <c r="AC162" s="144" t="s">
        <v>1</v>
      </c>
      <c r="AD162" s="145" t="s">
        <v>2</v>
      </c>
      <c r="AE162" s="146" t="s">
        <v>3</v>
      </c>
      <c r="AF162" s="147" t="s">
        <v>4</v>
      </c>
      <c r="AG162" s="147" t="s">
        <v>5</v>
      </c>
      <c r="AH162" s="145" t="s">
        <v>6</v>
      </c>
      <c r="AI162" s="145" t="s">
        <v>7</v>
      </c>
      <c r="AJ162" s="148" t="s">
        <v>8</v>
      </c>
      <c r="AK162" s="145" t="s">
        <v>9</v>
      </c>
      <c r="AL162" s="145" t="s">
        <v>10</v>
      </c>
      <c r="AM162" s="149" t="s">
        <v>11</v>
      </c>
      <c r="AN162" s="145" t="s">
        <v>12</v>
      </c>
      <c r="AO162" s="150" t="s">
        <v>13</v>
      </c>
    </row>
    <row r="163" spans="1:41" ht="48" customHeight="1" x14ac:dyDescent="0.6">
      <c r="A163" s="151">
        <v>16</v>
      </c>
      <c r="B163" s="152" t="s">
        <v>56</v>
      </c>
      <c r="C163" s="153">
        <v>200</v>
      </c>
      <c r="D163" s="153">
        <v>163.75</v>
      </c>
      <c r="E163" s="154">
        <v>197</v>
      </c>
      <c r="F163" s="153">
        <f>177.75+8/6</f>
        <v>179.08333333333334</v>
      </c>
      <c r="G163" s="153">
        <f>136.75+38/6</f>
        <v>143.08333333333334</v>
      </c>
      <c r="H163" s="153">
        <v>201.75</v>
      </c>
      <c r="I163" s="153">
        <v>188.5</v>
      </c>
      <c r="J163" s="153">
        <v>172.75</v>
      </c>
      <c r="K163" s="153">
        <f>131+17/6</f>
        <v>133.83333333333334</v>
      </c>
      <c r="L163" s="153">
        <f>168.5+38/6</f>
        <v>174.83333333333334</v>
      </c>
      <c r="M163" s="153">
        <v>205</v>
      </c>
      <c r="N163" s="153">
        <f>196.5+10/6</f>
        <v>198.16666666666666</v>
      </c>
      <c r="O163" s="153">
        <v>195.25</v>
      </c>
      <c r="P163" s="153">
        <v>171</v>
      </c>
      <c r="Q163" s="153">
        <v>186</v>
      </c>
      <c r="R163" s="153">
        <v>200.5</v>
      </c>
      <c r="S163" s="153">
        <v>197</v>
      </c>
      <c r="T163" s="153">
        <v>200.5</v>
      </c>
      <c r="U163" s="156">
        <v>0</v>
      </c>
      <c r="V163" s="153">
        <v>197.5</v>
      </c>
      <c r="W163" s="153">
        <f>171.5+59/6</f>
        <v>181.33333333333334</v>
      </c>
      <c r="X163" s="153">
        <v>162.5</v>
      </c>
      <c r="Y163" s="153">
        <f>190+42/6</f>
        <v>197</v>
      </c>
      <c r="Z163" s="153">
        <v>147.5</v>
      </c>
      <c r="AA163" s="153">
        <v>144.75</v>
      </c>
      <c r="AB163" s="153">
        <f>149.5+14/6</f>
        <v>151.83333333333334</v>
      </c>
      <c r="AC163" s="157">
        <f>SUM(C163:AB163)</f>
        <v>4490.416666666667</v>
      </c>
      <c r="AD163" s="158">
        <f>COUNTIF(C164:AB164,"&gt;0")</f>
        <v>25</v>
      </c>
      <c r="AE163" s="158">
        <f>AD163*$AE$11</f>
        <v>4250</v>
      </c>
      <c r="AF163" s="158">
        <f>AC163-AE163</f>
        <v>240.41666666666697</v>
      </c>
      <c r="AG163" s="158">
        <f>$AG$11</f>
        <v>26</v>
      </c>
      <c r="AH163" s="158">
        <f>AF163/175</f>
        <v>1.3738095238095256</v>
      </c>
      <c r="AI163" s="158">
        <f>AK163/AG163</f>
        <v>326.92307692307691</v>
      </c>
      <c r="AJ163" s="159">
        <f>AI163*AH163</f>
        <v>449.13003663003718</v>
      </c>
      <c r="AK163" s="158">
        <v>8500</v>
      </c>
      <c r="AL163" s="160">
        <f>AK163+AJ163</f>
        <v>8949.1300366300366</v>
      </c>
      <c r="AM163" s="152" t="s">
        <v>56</v>
      </c>
      <c r="AN163" s="161"/>
      <c r="AO163" s="161"/>
    </row>
    <row r="164" spans="1:41" ht="27.75" customHeight="1" x14ac:dyDescent="0.4">
      <c r="A164" s="163"/>
      <c r="B164" s="136" t="s">
        <v>16</v>
      </c>
      <c r="C164" s="164">
        <v>14.8</v>
      </c>
      <c r="D164" s="164">
        <v>15</v>
      </c>
      <c r="E164" s="164">
        <v>14.8</v>
      </c>
      <c r="F164" s="164">
        <v>13.2</v>
      </c>
      <c r="G164" s="164">
        <v>15</v>
      </c>
      <c r="H164" s="164">
        <v>15</v>
      </c>
      <c r="I164" s="164">
        <v>14</v>
      </c>
      <c r="J164" s="164">
        <v>13.4</v>
      </c>
      <c r="K164" s="164">
        <v>14</v>
      </c>
      <c r="L164" s="164">
        <v>13</v>
      </c>
      <c r="M164" s="164">
        <v>15</v>
      </c>
      <c r="N164" s="164">
        <v>15</v>
      </c>
      <c r="O164" s="164">
        <v>14</v>
      </c>
      <c r="P164" s="164">
        <v>14.25</v>
      </c>
      <c r="Q164" s="164">
        <v>14.17</v>
      </c>
      <c r="R164" s="164">
        <v>15</v>
      </c>
      <c r="S164" s="164">
        <v>13</v>
      </c>
      <c r="T164" s="164">
        <v>16</v>
      </c>
      <c r="U164" s="166">
        <v>0</v>
      </c>
      <c r="V164" s="164">
        <v>15</v>
      </c>
      <c r="W164" s="164">
        <v>14</v>
      </c>
      <c r="X164" s="164">
        <v>15</v>
      </c>
      <c r="Y164" s="164">
        <v>15</v>
      </c>
      <c r="Z164" s="164">
        <v>14</v>
      </c>
      <c r="AA164" s="164">
        <v>15</v>
      </c>
      <c r="AB164" s="164">
        <v>14</v>
      </c>
    </row>
    <row r="165" spans="1:41" ht="27.75" customHeight="1" x14ac:dyDescent="0.4">
      <c r="A165" s="163"/>
      <c r="B165" s="136" t="s">
        <v>17</v>
      </c>
      <c r="C165" s="164">
        <f t="shared" ref="C165:AB165" si="63">IF(C164&gt;0,C163/C164,0)</f>
        <v>13.513513513513512</v>
      </c>
      <c r="D165" s="164">
        <f t="shared" si="63"/>
        <v>10.916666666666666</v>
      </c>
      <c r="E165" s="164">
        <f t="shared" si="63"/>
        <v>13.310810810810811</v>
      </c>
      <c r="F165" s="164">
        <f t="shared" si="63"/>
        <v>13.566919191919194</v>
      </c>
      <c r="G165" s="164">
        <f t="shared" si="63"/>
        <v>9.5388888888888896</v>
      </c>
      <c r="H165" s="164">
        <f t="shared" si="63"/>
        <v>13.45</v>
      </c>
      <c r="I165" s="164">
        <f t="shared" si="63"/>
        <v>13.464285714285714</v>
      </c>
      <c r="J165" s="164">
        <f t="shared" si="63"/>
        <v>12.891791044776118</v>
      </c>
      <c r="K165" s="164">
        <f t="shared" si="63"/>
        <v>9.5595238095238102</v>
      </c>
      <c r="L165" s="164">
        <f t="shared" si="63"/>
        <v>13.448717948717949</v>
      </c>
      <c r="M165" s="164">
        <f t="shared" si="63"/>
        <v>13.666666666666666</v>
      </c>
      <c r="N165" s="164">
        <f t="shared" si="63"/>
        <v>13.21111111111111</v>
      </c>
      <c r="O165" s="164">
        <f t="shared" si="63"/>
        <v>13.946428571428571</v>
      </c>
      <c r="P165" s="164">
        <f t="shared" si="63"/>
        <v>12</v>
      </c>
      <c r="Q165" s="164">
        <f t="shared" si="63"/>
        <v>13.126323218066338</v>
      </c>
      <c r="R165" s="164">
        <f t="shared" si="63"/>
        <v>13.366666666666667</v>
      </c>
      <c r="S165" s="164">
        <f t="shared" si="63"/>
        <v>15.153846153846153</v>
      </c>
      <c r="T165" s="164">
        <f t="shared" si="63"/>
        <v>12.53125</v>
      </c>
      <c r="U165" s="166">
        <f t="shared" si="63"/>
        <v>0</v>
      </c>
      <c r="V165" s="164">
        <f t="shared" si="63"/>
        <v>13.166666666666666</v>
      </c>
      <c r="W165" s="164">
        <f t="shared" si="63"/>
        <v>12.952380952380953</v>
      </c>
      <c r="X165" s="164">
        <f t="shared" si="63"/>
        <v>10.833333333333334</v>
      </c>
      <c r="Y165" s="164">
        <f t="shared" si="63"/>
        <v>13.133333333333333</v>
      </c>
      <c r="Z165" s="164">
        <f t="shared" si="63"/>
        <v>10.535714285714286</v>
      </c>
      <c r="AA165" s="164">
        <f t="shared" si="63"/>
        <v>9.65</v>
      </c>
      <c r="AB165" s="164">
        <f t="shared" si="63"/>
        <v>10.845238095238097</v>
      </c>
      <c r="AC165" s="167">
        <f>SUM(C165:AB165)</f>
        <v>311.78007664355476</v>
      </c>
      <c r="AE165" s="136" t="s">
        <v>18</v>
      </c>
      <c r="AG165" s="136">
        <f>AI163/11.5</f>
        <v>28.42809364548495</v>
      </c>
    </row>
    <row r="166" spans="1:41" ht="27.75" customHeight="1" x14ac:dyDescent="0.4">
      <c r="A166" s="163"/>
      <c r="B166" s="136" t="s">
        <v>19</v>
      </c>
      <c r="C166" s="184">
        <f t="shared" ref="C166:AB166" si="64">IF(C164&gt;0,11.5,0)</f>
        <v>11.5</v>
      </c>
      <c r="D166" s="164">
        <f t="shared" si="64"/>
        <v>11.5</v>
      </c>
      <c r="E166" s="184">
        <f t="shared" si="64"/>
        <v>11.5</v>
      </c>
      <c r="F166" s="184">
        <f t="shared" si="64"/>
        <v>11.5</v>
      </c>
      <c r="G166" s="184">
        <f t="shared" si="64"/>
        <v>11.5</v>
      </c>
      <c r="H166" s="184">
        <f t="shared" si="64"/>
        <v>11.5</v>
      </c>
      <c r="I166" s="184">
        <f t="shared" si="64"/>
        <v>11.5</v>
      </c>
      <c r="J166" s="164">
        <f t="shared" si="64"/>
        <v>11.5</v>
      </c>
      <c r="K166" s="184">
        <f t="shared" si="64"/>
        <v>11.5</v>
      </c>
      <c r="L166" s="184">
        <f t="shared" si="64"/>
        <v>11.5</v>
      </c>
      <c r="M166" s="184">
        <f t="shared" si="64"/>
        <v>11.5</v>
      </c>
      <c r="N166" s="184">
        <f t="shared" si="64"/>
        <v>11.5</v>
      </c>
      <c r="O166" s="184">
        <f t="shared" si="64"/>
        <v>11.5</v>
      </c>
      <c r="P166" s="164">
        <f t="shared" si="64"/>
        <v>11.5</v>
      </c>
      <c r="Q166" s="164">
        <f t="shared" si="64"/>
        <v>11.5</v>
      </c>
      <c r="R166" s="184">
        <f t="shared" si="64"/>
        <v>11.5</v>
      </c>
      <c r="S166" s="184">
        <f t="shared" si="64"/>
        <v>11.5</v>
      </c>
      <c r="T166" s="184">
        <f t="shared" si="64"/>
        <v>11.5</v>
      </c>
      <c r="U166" s="193">
        <f t="shared" si="64"/>
        <v>0</v>
      </c>
      <c r="V166" s="184">
        <f t="shared" si="64"/>
        <v>11.5</v>
      </c>
      <c r="W166" s="184">
        <f t="shared" si="64"/>
        <v>11.5</v>
      </c>
      <c r="X166" s="184">
        <f t="shared" si="64"/>
        <v>11.5</v>
      </c>
      <c r="Y166" s="184">
        <f t="shared" si="64"/>
        <v>11.5</v>
      </c>
      <c r="Z166" s="184">
        <f t="shared" si="64"/>
        <v>11.5</v>
      </c>
      <c r="AA166" s="184">
        <f t="shared" si="64"/>
        <v>11.5</v>
      </c>
      <c r="AB166" s="184">
        <f t="shared" si="64"/>
        <v>11.5</v>
      </c>
      <c r="AC166" s="167">
        <f>SUM(C166:AB166)</f>
        <v>287.5</v>
      </c>
      <c r="AE166" s="136" t="s">
        <v>20</v>
      </c>
      <c r="AG166" s="136">
        <f>AC167*AG165</f>
        <v>690.23629254252853</v>
      </c>
    </row>
    <row r="167" spans="1:41" ht="27.75" customHeight="1" x14ac:dyDescent="0.4">
      <c r="A167" s="168"/>
      <c r="B167" s="169" t="s">
        <v>21</v>
      </c>
      <c r="C167" s="170">
        <f t="shared" ref="C167:AB167" si="65">IF(C164&gt;0,C165-C166,0)</f>
        <v>2.0135135135135123</v>
      </c>
      <c r="D167" s="170">
        <f t="shared" si="65"/>
        <v>-0.58333333333333393</v>
      </c>
      <c r="E167" s="170">
        <f t="shared" si="65"/>
        <v>1.8108108108108105</v>
      </c>
      <c r="F167" s="170">
        <f t="shared" si="65"/>
        <v>2.0669191919191938</v>
      </c>
      <c r="G167" s="170">
        <f t="shared" si="65"/>
        <v>-1.9611111111111104</v>
      </c>
      <c r="H167" s="170">
        <f t="shared" si="65"/>
        <v>1.9499999999999993</v>
      </c>
      <c r="I167" s="170">
        <f t="shared" si="65"/>
        <v>1.9642857142857135</v>
      </c>
      <c r="J167" s="170">
        <f t="shared" si="65"/>
        <v>1.3917910447761184</v>
      </c>
      <c r="K167" s="170">
        <f t="shared" si="65"/>
        <v>-1.9404761904761898</v>
      </c>
      <c r="L167" s="170">
        <f t="shared" si="65"/>
        <v>1.9487179487179489</v>
      </c>
      <c r="M167" s="170">
        <f t="shared" si="65"/>
        <v>2.1666666666666661</v>
      </c>
      <c r="N167" s="170">
        <f t="shared" si="65"/>
        <v>1.7111111111111104</v>
      </c>
      <c r="O167" s="170">
        <f t="shared" si="65"/>
        <v>2.4464285714285712</v>
      </c>
      <c r="P167" s="170">
        <f t="shared" si="65"/>
        <v>0.5</v>
      </c>
      <c r="Q167" s="170">
        <f t="shared" si="65"/>
        <v>1.6263232180663376</v>
      </c>
      <c r="R167" s="170">
        <f t="shared" si="65"/>
        <v>1.8666666666666671</v>
      </c>
      <c r="S167" s="170">
        <f t="shared" si="65"/>
        <v>3.6538461538461533</v>
      </c>
      <c r="T167" s="170">
        <f t="shared" si="65"/>
        <v>1.03125</v>
      </c>
      <c r="U167" s="172">
        <f t="shared" si="65"/>
        <v>0</v>
      </c>
      <c r="V167" s="170">
        <f t="shared" si="65"/>
        <v>1.6666666666666661</v>
      </c>
      <c r="W167" s="170">
        <f t="shared" si="65"/>
        <v>1.4523809523809526</v>
      </c>
      <c r="X167" s="170">
        <f t="shared" si="65"/>
        <v>-0.66666666666666607</v>
      </c>
      <c r="Y167" s="170">
        <f t="shared" si="65"/>
        <v>1.6333333333333329</v>
      </c>
      <c r="Z167" s="170">
        <f t="shared" si="65"/>
        <v>-0.96428571428571352</v>
      </c>
      <c r="AA167" s="170">
        <f t="shared" si="65"/>
        <v>-1.8499999999999996</v>
      </c>
      <c r="AB167" s="170">
        <f t="shared" si="65"/>
        <v>-0.65476190476190332</v>
      </c>
      <c r="AC167" s="167">
        <f>SUM(C167:AB167)</f>
        <v>24.280076643554828</v>
      </c>
      <c r="AH167">
        <f>AF167/175</f>
        <v>0</v>
      </c>
    </row>
    <row r="168" spans="1:41" ht="27.75" customHeight="1" x14ac:dyDescent="0.4"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AC168" s="167"/>
    </row>
    <row r="169" spans="1:41" ht="27.75" customHeight="1" x14ac:dyDescent="0.4"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  <c r="AA169" s="167"/>
      <c r="AB169" s="167"/>
      <c r="AC169" s="167"/>
    </row>
    <row r="171" spans="1:41" ht="15" thickBot="1" x14ac:dyDescent="0.35"/>
    <row r="172" spans="1:41" ht="27.75" customHeight="1" thickTop="1" thickBot="1" x14ac:dyDescent="0.45">
      <c r="B172" s="136"/>
      <c r="C172" s="137">
        <v>1.06</v>
      </c>
      <c r="D172" s="138">
        <v>2.06</v>
      </c>
      <c r="E172" s="138">
        <v>3.06</v>
      </c>
      <c r="F172" s="138">
        <v>4.0599999999999996</v>
      </c>
      <c r="G172" s="138">
        <v>5.0599999999999996</v>
      </c>
      <c r="H172" s="138">
        <v>6.06</v>
      </c>
      <c r="I172" s="138">
        <v>8.06</v>
      </c>
      <c r="J172" s="138">
        <v>9.06</v>
      </c>
      <c r="K172" s="138">
        <v>10.06</v>
      </c>
      <c r="L172" s="138">
        <v>11.06</v>
      </c>
      <c r="M172" s="138">
        <v>12.06</v>
      </c>
      <c r="N172" s="138">
        <v>13.06</v>
      </c>
      <c r="O172" s="138">
        <v>15.06</v>
      </c>
      <c r="P172" s="138">
        <v>16.059999999999999</v>
      </c>
      <c r="Q172" s="138">
        <v>17.059999999999999</v>
      </c>
      <c r="R172" s="138">
        <v>18.059999999999999</v>
      </c>
      <c r="S172" s="138">
        <v>19.059999999999999</v>
      </c>
      <c r="T172" s="138">
        <v>20.059999999999999</v>
      </c>
      <c r="U172" s="194">
        <v>22.06</v>
      </c>
      <c r="V172" s="138">
        <v>23.06</v>
      </c>
      <c r="W172" s="138">
        <v>24.06</v>
      </c>
      <c r="X172" s="141">
        <v>25.06</v>
      </c>
      <c r="Y172" s="142">
        <v>26.06</v>
      </c>
      <c r="Z172" s="142">
        <v>27.06</v>
      </c>
      <c r="AA172" s="142">
        <v>29.06</v>
      </c>
      <c r="AB172" s="142">
        <v>30.06</v>
      </c>
      <c r="AC172" s="144" t="s">
        <v>1</v>
      </c>
      <c r="AD172" s="145" t="s">
        <v>2</v>
      </c>
      <c r="AE172" s="146" t="s">
        <v>3</v>
      </c>
      <c r="AF172" s="147" t="s">
        <v>4</v>
      </c>
      <c r="AG172" s="147" t="s">
        <v>5</v>
      </c>
      <c r="AH172" s="145" t="s">
        <v>6</v>
      </c>
      <c r="AI172" s="145" t="s">
        <v>7</v>
      </c>
      <c r="AJ172" s="148" t="s">
        <v>8</v>
      </c>
      <c r="AK172" s="145" t="s">
        <v>9</v>
      </c>
      <c r="AL172" s="145" t="s">
        <v>10</v>
      </c>
      <c r="AM172" s="149" t="s">
        <v>11</v>
      </c>
      <c r="AN172" s="145" t="s">
        <v>12</v>
      </c>
      <c r="AO172" s="150" t="s">
        <v>13</v>
      </c>
    </row>
    <row r="173" spans="1:41" ht="48" customHeight="1" thickTop="1" thickBot="1" x14ac:dyDescent="0.65">
      <c r="A173" s="151"/>
      <c r="B173" s="152" t="s">
        <v>143</v>
      </c>
      <c r="C173" s="153"/>
      <c r="D173" s="153"/>
      <c r="E173" s="154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>
        <v>197</v>
      </c>
      <c r="T173" s="153">
        <v>200.5</v>
      </c>
      <c r="U173" s="153">
        <f>205.25+5/6</f>
        <v>206.08333333333334</v>
      </c>
      <c r="V173" s="153">
        <v>197.5</v>
      </c>
      <c r="W173" s="153">
        <f>171.5+59/6</f>
        <v>181.33333333333334</v>
      </c>
      <c r="X173" s="153">
        <v>162.5</v>
      </c>
      <c r="Y173" s="153">
        <f>190+42/6</f>
        <v>197</v>
      </c>
      <c r="Z173" s="153">
        <v>147.5</v>
      </c>
      <c r="AA173" s="153">
        <v>144.75</v>
      </c>
      <c r="AB173" s="153">
        <f>149.5+14/6</f>
        <v>151.83333333333334</v>
      </c>
      <c r="AC173" s="157">
        <f>SUM(C173:AB173)</f>
        <v>1786</v>
      </c>
      <c r="AD173" s="158">
        <v>10</v>
      </c>
      <c r="AE173" s="158">
        <f>AD173*$AE$11</f>
        <v>1700</v>
      </c>
      <c r="AF173" s="158">
        <f>AC173-AE173</f>
        <v>86</v>
      </c>
      <c r="AG173" s="158">
        <v>10</v>
      </c>
      <c r="AH173" s="158">
        <f>AF173/175</f>
        <v>0.49142857142857144</v>
      </c>
      <c r="AI173" s="158">
        <f>AK173/AG173</f>
        <v>55</v>
      </c>
      <c r="AJ173" s="159">
        <f>AI173*AH173</f>
        <v>27.028571428571428</v>
      </c>
      <c r="AK173" s="158">
        <v>550</v>
      </c>
      <c r="AL173" s="160">
        <f>AK173+AJ173</f>
        <v>577.02857142857147</v>
      </c>
      <c r="AM173" s="152" t="s">
        <v>143</v>
      </c>
      <c r="AN173" s="161"/>
      <c r="AO173" s="161"/>
    </row>
    <row r="174" spans="1:41" ht="27.75" customHeight="1" thickTop="1" x14ac:dyDescent="0.4">
      <c r="A174" s="163"/>
      <c r="B174" s="136" t="s">
        <v>16</v>
      </c>
      <c r="C174" s="164">
        <v>14.8</v>
      </c>
      <c r="D174" s="164">
        <v>15</v>
      </c>
      <c r="E174" s="164">
        <v>14.8</v>
      </c>
      <c r="F174" s="164">
        <v>13.2</v>
      </c>
      <c r="G174" s="164">
        <v>15</v>
      </c>
      <c r="H174" s="164">
        <v>15</v>
      </c>
      <c r="I174" s="164">
        <v>14</v>
      </c>
      <c r="J174" s="164">
        <v>13.4</v>
      </c>
      <c r="K174" s="164">
        <v>14</v>
      </c>
      <c r="L174" s="164">
        <v>13</v>
      </c>
      <c r="M174" s="164">
        <v>15</v>
      </c>
      <c r="N174" s="164">
        <v>15</v>
      </c>
      <c r="O174" s="164">
        <v>14</v>
      </c>
      <c r="P174" s="164">
        <v>14.25</v>
      </c>
      <c r="Q174" s="164">
        <v>14.17</v>
      </c>
      <c r="R174" s="164">
        <v>15</v>
      </c>
      <c r="S174" s="164">
        <v>13</v>
      </c>
      <c r="T174" s="164">
        <v>16</v>
      </c>
      <c r="U174" s="164">
        <v>15</v>
      </c>
      <c r="V174" s="164">
        <v>15</v>
      </c>
      <c r="W174" s="164">
        <v>14</v>
      </c>
      <c r="X174" s="164">
        <v>15</v>
      </c>
      <c r="Y174" s="164">
        <v>15</v>
      </c>
      <c r="Z174" s="164">
        <v>14</v>
      </c>
      <c r="AA174" s="164">
        <v>15</v>
      </c>
      <c r="AB174" s="164">
        <v>14</v>
      </c>
    </row>
    <row r="175" spans="1:41" ht="27.75" customHeight="1" x14ac:dyDescent="0.4">
      <c r="A175" s="163"/>
      <c r="B175" s="136" t="s">
        <v>17</v>
      </c>
      <c r="C175" s="164">
        <f t="shared" ref="C175:AB175" si="66">IF(C174&gt;0,C173/C174,0)</f>
        <v>0</v>
      </c>
      <c r="D175" s="164">
        <f t="shared" si="66"/>
        <v>0</v>
      </c>
      <c r="E175" s="164">
        <f t="shared" si="66"/>
        <v>0</v>
      </c>
      <c r="F175" s="164">
        <f t="shared" si="66"/>
        <v>0</v>
      </c>
      <c r="G175" s="164">
        <f t="shared" si="66"/>
        <v>0</v>
      </c>
      <c r="H175" s="164">
        <f t="shared" si="66"/>
        <v>0</v>
      </c>
      <c r="I175" s="164">
        <f t="shared" si="66"/>
        <v>0</v>
      </c>
      <c r="J175" s="164">
        <f t="shared" si="66"/>
        <v>0</v>
      </c>
      <c r="K175" s="164">
        <f t="shared" si="66"/>
        <v>0</v>
      </c>
      <c r="L175" s="164">
        <f t="shared" si="66"/>
        <v>0</v>
      </c>
      <c r="M175" s="164">
        <f t="shared" si="66"/>
        <v>0</v>
      </c>
      <c r="N175" s="164">
        <f t="shared" si="66"/>
        <v>0</v>
      </c>
      <c r="O175" s="164">
        <f t="shared" si="66"/>
        <v>0</v>
      </c>
      <c r="P175" s="164">
        <f t="shared" si="66"/>
        <v>0</v>
      </c>
      <c r="Q175" s="164">
        <f t="shared" si="66"/>
        <v>0</v>
      </c>
      <c r="R175" s="164">
        <f t="shared" si="66"/>
        <v>0</v>
      </c>
      <c r="S175" s="164">
        <f t="shared" si="66"/>
        <v>15.153846153846153</v>
      </c>
      <c r="T175" s="164">
        <f t="shared" si="66"/>
        <v>12.53125</v>
      </c>
      <c r="U175" s="164">
        <f t="shared" si="66"/>
        <v>13.738888888888889</v>
      </c>
      <c r="V175" s="164">
        <f t="shared" si="66"/>
        <v>13.166666666666666</v>
      </c>
      <c r="W175" s="164">
        <f t="shared" si="66"/>
        <v>12.952380952380953</v>
      </c>
      <c r="X175" s="164">
        <f t="shared" si="66"/>
        <v>10.833333333333334</v>
      </c>
      <c r="Y175" s="164">
        <f t="shared" si="66"/>
        <v>13.133333333333333</v>
      </c>
      <c r="Z175" s="164">
        <f t="shared" si="66"/>
        <v>10.535714285714286</v>
      </c>
      <c r="AA175" s="164">
        <f t="shared" si="66"/>
        <v>9.65</v>
      </c>
      <c r="AB175" s="164">
        <f t="shared" si="66"/>
        <v>10.845238095238097</v>
      </c>
      <c r="AC175" s="167">
        <f>SUM(C175:AB175)</f>
        <v>122.54065170940173</v>
      </c>
      <c r="AE175" s="136" t="s">
        <v>18</v>
      </c>
      <c r="AG175" s="136">
        <f>AI173/11.5</f>
        <v>4.7826086956521738</v>
      </c>
    </row>
    <row r="176" spans="1:41" ht="27.75" customHeight="1" x14ac:dyDescent="0.4">
      <c r="A176" s="163"/>
      <c r="B176" s="136" t="s">
        <v>19</v>
      </c>
      <c r="C176" s="184"/>
      <c r="D176" s="164"/>
      <c r="E176" s="184"/>
      <c r="F176" s="184"/>
      <c r="G176" s="184"/>
      <c r="H176" s="184"/>
      <c r="I176" s="184"/>
      <c r="J176" s="164"/>
      <c r="K176" s="184"/>
      <c r="L176" s="184"/>
      <c r="M176" s="184"/>
      <c r="N176" s="184"/>
      <c r="O176" s="184"/>
      <c r="P176" s="164"/>
      <c r="Q176" s="164"/>
      <c r="R176" s="184"/>
      <c r="S176" s="184">
        <f t="shared" ref="S176:AB176" si="67">IF(S174&gt;0,11.5,0)</f>
        <v>11.5</v>
      </c>
      <c r="T176" s="184">
        <f t="shared" si="67"/>
        <v>11.5</v>
      </c>
      <c r="U176" s="164">
        <f t="shared" si="67"/>
        <v>11.5</v>
      </c>
      <c r="V176" s="184">
        <f t="shared" si="67"/>
        <v>11.5</v>
      </c>
      <c r="W176" s="184">
        <f t="shared" si="67"/>
        <v>11.5</v>
      </c>
      <c r="X176" s="184">
        <f t="shared" si="67"/>
        <v>11.5</v>
      </c>
      <c r="Y176" s="184">
        <f t="shared" si="67"/>
        <v>11.5</v>
      </c>
      <c r="Z176" s="184">
        <f t="shared" si="67"/>
        <v>11.5</v>
      </c>
      <c r="AA176" s="184">
        <f t="shared" si="67"/>
        <v>11.5</v>
      </c>
      <c r="AB176" s="184">
        <f t="shared" si="67"/>
        <v>11.5</v>
      </c>
      <c r="AC176" s="167">
        <f>SUM(C176:AB176)</f>
        <v>115</v>
      </c>
      <c r="AE176" s="136" t="s">
        <v>20</v>
      </c>
      <c r="AG176" s="136">
        <f>AC177*AG175</f>
        <v>36.063986436269055</v>
      </c>
    </row>
    <row r="177" spans="1:34" ht="27.75" customHeight="1" thickBot="1" x14ac:dyDescent="0.45">
      <c r="A177" s="168"/>
      <c r="B177" s="169" t="s">
        <v>21</v>
      </c>
      <c r="C177" s="170">
        <f t="shared" ref="C177:AB177" si="68">IF(C174&gt;0,C175-C176,0)</f>
        <v>0</v>
      </c>
      <c r="D177" s="170">
        <f t="shared" si="68"/>
        <v>0</v>
      </c>
      <c r="E177" s="170">
        <f t="shared" si="68"/>
        <v>0</v>
      </c>
      <c r="F177" s="170">
        <f t="shared" si="68"/>
        <v>0</v>
      </c>
      <c r="G177" s="170">
        <f t="shared" si="68"/>
        <v>0</v>
      </c>
      <c r="H177" s="170">
        <f t="shared" si="68"/>
        <v>0</v>
      </c>
      <c r="I177" s="170">
        <f t="shared" si="68"/>
        <v>0</v>
      </c>
      <c r="J177" s="170">
        <f t="shared" si="68"/>
        <v>0</v>
      </c>
      <c r="K177" s="170">
        <f t="shared" si="68"/>
        <v>0</v>
      </c>
      <c r="L177" s="170">
        <f t="shared" si="68"/>
        <v>0</v>
      </c>
      <c r="M177" s="170">
        <f t="shared" si="68"/>
        <v>0</v>
      </c>
      <c r="N177" s="170">
        <f t="shared" si="68"/>
        <v>0</v>
      </c>
      <c r="O177" s="170">
        <f t="shared" si="68"/>
        <v>0</v>
      </c>
      <c r="P177" s="170">
        <f t="shared" si="68"/>
        <v>0</v>
      </c>
      <c r="Q177" s="170">
        <f t="shared" si="68"/>
        <v>0</v>
      </c>
      <c r="R177" s="170">
        <f t="shared" si="68"/>
        <v>0</v>
      </c>
      <c r="S177" s="170">
        <f t="shared" si="68"/>
        <v>3.6538461538461533</v>
      </c>
      <c r="T177" s="170">
        <f t="shared" si="68"/>
        <v>1.03125</v>
      </c>
      <c r="U177" s="170">
        <f t="shared" si="68"/>
        <v>2.2388888888888889</v>
      </c>
      <c r="V177" s="170">
        <f t="shared" si="68"/>
        <v>1.6666666666666661</v>
      </c>
      <c r="W177" s="170">
        <f t="shared" si="68"/>
        <v>1.4523809523809526</v>
      </c>
      <c r="X177" s="170">
        <f t="shared" si="68"/>
        <v>-0.66666666666666607</v>
      </c>
      <c r="Y177" s="170">
        <f t="shared" si="68"/>
        <v>1.6333333333333329</v>
      </c>
      <c r="Z177" s="170">
        <f t="shared" si="68"/>
        <v>-0.96428571428571352</v>
      </c>
      <c r="AA177" s="170">
        <f t="shared" si="68"/>
        <v>-1.8499999999999996</v>
      </c>
      <c r="AB177" s="170">
        <f t="shared" si="68"/>
        <v>-0.65476190476190332</v>
      </c>
      <c r="AC177" s="167">
        <f>SUM(C177:AB177)</f>
        <v>7.5406517094017111</v>
      </c>
      <c r="AH177">
        <f>AF177/175</f>
        <v>0</v>
      </c>
    </row>
    <row r="178" spans="1:34" ht="15" thickTop="1" x14ac:dyDescent="0.3"/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L141"/>
  <sheetViews>
    <sheetView zoomScale="55" workbookViewId="0"/>
  </sheetViews>
  <sheetFormatPr defaultColWidth="8.6640625" defaultRowHeight="14.4" x14ac:dyDescent="0.3"/>
  <cols>
    <col min="1" max="1" width="8.6640625" customWidth="1"/>
    <col min="2" max="2" width="37.109375" customWidth="1"/>
    <col min="3" max="3" width="14.88671875" customWidth="1"/>
    <col min="4" max="4" width="18.5546875" customWidth="1"/>
    <col min="5" max="5" width="14.88671875" customWidth="1"/>
    <col min="28" max="28" width="11.5546875" bestFit="1" customWidth="1"/>
    <col min="30" max="30" width="10.33203125" customWidth="1"/>
    <col min="31" max="31" width="16.5546875" customWidth="1"/>
    <col min="32" max="32" width="10.6640625" bestFit="1" customWidth="1"/>
    <col min="33" max="33" width="12.44140625" customWidth="1"/>
    <col min="34" max="34" width="11.5546875" customWidth="1"/>
    <col min="35" max="35" width="8.6640625" customWidth="1"/>
    <col min="36" max="36" width="21.109375" customWidth="1"/>
    <col min="37" max="37" width="12" customWidth="1"/>
    <col min="38" max="38" width="71.44140625" bestFit="1" customWidth="1"/>
    <col min="39" max="39" width="27.5546875" customWidth="1"/>
    <col min="40" max="40" width="36.109375" customWidth="1"/>
    <col min="41" max="41" width="8.6640625" customWidth="1"/>
  </cols>
  <sheetData>
    <row r="4" spans="1:38" ht="27.75" customHeight="1" x14ac:dyDescent="0.3">
      <c r="AB4" s="113">
        <v>170</v>
      </c>
      <c r="AD4">
        <v>24</v>
      </c>
    </row>
    <row r="5" spans="1:38" ht="27.75" customHeight="1" x14ac:dyDescent="0.4">
      <c r="B5" s="1" t="s">
        <v>0</v>
      </c>
      <c r="C5" s="3">
        <v>1.04</v>
      </c>
      <c r="D5" s="4">
        <v>2.04</v>
      </c>
      <c r="E5" s="4">
        <v>3.04</v>
      </c>
      <c r="F5" s="4">
        <v>4.04</v>
      </c>
      <c r="G5" s="4">
        <v>6.04</v>
      </c>
      <c r="H5" s="4">
        <v>7.04</v>
      </c>
      <c r="I5" s="4">
        <v>8.0399999999999991</v>
      </c>
      <c r="J5" s="4">
        <v>9.0399999999999991</v>
      </c>
      <c r="K5" s="4">
        <v>10.039999999999999</v>
      </c>
      <c r="L5" s="4">
        <v>14.04</v>
      </c>
      <c r="M5" s="4">
        <v>16.04</v>
      </c>
      <c r="N5" s="4">
        <v>17.04</v>
      </c>
      <c r="O5" s="4">
        <v>18.04</v>
      </c>
      <c r="P5" s="4">
        <v>20.04</v>
      </c>
      <c r="Q5" s="4">
        <v>21.04</v>
      </c>
      <c r="R5" s="4">
        <v>22.04</v>
      </c>
      <c r="S5" s="4">
        <v>23.04</v>
      </c>
      <c r="T5" s="4">
        <v>24.04</v>
      </c>
      <c r="U5" s="4">
        <v>25.04</v>
      </c>
      <c r="V5" s="4">
        <v>27.04</v>
      </c>
      <c r="W5" s="4">
        <v>28.04</v>
      </c>
      <c r="X5" s="6">
        <v>29.04</v>
      </c>
      <c r="Y5" s="8">
        <v>30.04</v>
      </c>
      <c r="Z5" s="9" t="s">
        <v>1</v>
      </c>
      <c r="AA5" s="10" t="s">
        <v>2</v>
      </c>
      <c r="AB5" s="11" t="s">
        <v>3</v>
      </c>
      <c r="AC5" s="12" t="s">
        <v>4</v>
      </c>
      <c r="AD5" s="12" t="s">
        <v>5</v>
      </c>
      <c r="AE5" s="10" t="s">
        <v>6</v>
      </c>
      <c r="AF5" s="10" t="s">
        <v>7</v>
      </c>
      <c r="AG5" s="13" t="s">
        <v>8</v>
      </c>
      <c r="AH5" s="10" t="s">
        <v>9</v>
      </c>
      <c r="AI5" s="10" t="s">
        <v>10</v>
      </c>
      <c r="AJ5" s="14" t="s">
        <v>11</v>
      </c>
      <c r="AK5" s="10" t="s">
        <v>12</v>
      </c>
      <c r="AL5" s="104" t="s">
        <v>13</v>
      </c>
    </row>
    <row r="6" spans="1:38" ht="44.25" customHeight="1" x14ac:dyDescent="0.6">
      <c r="A6" s="15">
        <v>1</v>
      </c>
      <c r="B6" s="16" t="s">
        <v>14</v>
      </c>
      <c r="C6" s="17">
        <v>203</v>
      </c>
      <c r="D6" s="17">
        <v>197.25</v>
      </c>
      <c r="E6" s="18">
        <v>199</v>
      </c>
      <c r="F6" s="17">
        <v>197.25</v>
      </c>
      <c r="G6" s="17">
        <v>186</v>
      </c>
      <c r="H6" s="17">
        <f>166+68/6</f>
        <v>177.33333333333334</v>
      </c>
      <c r="I6" s="17">
        <f>149+5/6</f>
        <v>149.83333333333334</v>
      </c>
      <c r="J6" s="17">
        <v>118.5</v>
      </c>
      <c r="K6" s="17">
        <v>144.5</v>
      </c>
      <c r="L6" s="17">
        <f>154+6/6</f>
        <v>155</v>
      </c>
      <c r="M6" s="17">
        <v>58</v>
      </c>
      <c r="N6" s="17">
        <f>138.5+19/6</f>
        <v>141.66666666666666</v>
      </c>
      <c r="O6" s="17">
        <v>222.5</v>
      </c>
      <c r="P6" s="17">
        <v>184</v>
      </c>
      <c r="Q6" s="17">
        <f>160+20/6</f>
        <v>163.33333333333334</v>
      </c>
      <c r="R6" s="17">
        <v>73</v>
      </c>
      <c r="S6" s="17">
        <v>109</v>
      </c>
      <c r="T6" s="17">
        <v>210.75</v>
      </c>
      <c r="U6" s="17">
        <v>202.75</v>
      </c>
      <c r="V6" s="17">
        <v>195</v>
      </c>
      <c r="W6" s="17">
        <v>87.5</v>
      </c>
      <c r="X6" s="17">
        <v>212.25</v>
      </c>
      <c r="Y6" s="17">
        <f>176.25+23/6</f>
        <v>180.08333333333334</v>
      </c>
      <c r="Z6" s="20">
        <f>SUM(C6:Y6)</f>
        <v>3767.5</v>
      </c>
      <c r="AA6" s="21">
        <f>COUNTIF(C7:Y7,"&gt;0")</f>
        <v>23</v>
      </c>
      <c r="AB6" s="21">
        <f>AA6*AB4</f>
        <v>3910</v>
      </c>
      <c r="AC6" s="21">
        <f>Z6-AB6</f>
        <v>-142.5</v>
      </c>
      <c r="AD6" s="21">
        <f>AD4</f>
        <v>24</v>
      </c>
      <c r="AE6" s="21">
        <f>AC6/175</f>
        <v>-0.81428571428571428</v>
      </c>
      <c r="AF6" s="21">
        <f>AH6/AD6</f>
        <v>395.83333333333331</v>
      </c>
      <c r="AG6" s="22">
        <f>AF6*AE6</f>
        <v>-322.32142857142856</v>
      </c>
      <c r="AH6" s="21">
        <v>9500</v>
      </c>
      <c r="AI6" s="23">
        <f>AH6+AG6</f>
        <v>9177.6785714285706</v>
      </c>
      <c r="AJ6" s="16" t="s">
        <v>14</v>
      </c>
      <c r="AK6" s="24"/>
      <c r="AL6" s="24"/>
    </row>
    <row r="7" spans="1:38" ht="27.75" customHeight="1" x14ac:dyDescent="0.4">
      <c r="A7" s="25"/>
      <c r="B7" s="1" t="s">
        <v>16</v>
      </c>
      <c r="C7" s="26">
        <v>16</v>
      </c>
      <c r="D7" s="26">
        <v>14.6</v>
      </c>
      <c r="E7" s="26">
        <v>15.4</v>
      </c>
      <c r="F7" s="26">
        <v>15</v>
      </c>
      <c r="G7" s="26">
        <v>14.4</v>
      </c>
      <c r="H7" s="26">
        <v>15</v>
      </c>
      <c r="I7" s="26">
        <v>15.5</v>
      </c>
      <c r="J7" s="26">
        <v>15</v>
      </c>
      <c r="K7" s="26">
        <v>15</v>
      </c>
      <c r="L7" s="26">
        <v>14</v>
      </c>
      <c r="M7" s="26">
        <v>9</v>
      </c>
      <c r="N7" s="26">
        <v>14.67</v>
      </c>
      <c r="O7" s="26">
        <v>15</v>
      </c>
      <c r="P7" s="26">
        <v>16.14</v>
      </c>
      <c r="Q7" s="26">
        <v>15</v>
      </c>
      <c r="R7" s="26">
        <v>13</v>
      </c>
      <c r="S7" s="26">
        <v>12.33</v>
      </c>
      <c r="T7" s="26">
        <v>15</v>
      </c>
      <c r="U7" s="26">
        <v>15.2</v>
      </c>
      <c r="V7" s="26">
        <v>14.6</v>
      </c>
      <c r="W7" s="26">
        <v>10</v>
      </c>
      <c r="X7" s="26">
        <v>15.6</v>
      </c>
      <c r="Y7" s="26">
        <v>14.5</v>
      </c>
    </row>
    <row r="8" spans="1:38" ht="27.75" customHeight="1" x14ac:dyDescent="0.4">
      <c r="A8" s="25"/>
      <c r="B8" s="1" t="s">
        <v>17</v>
      </c>
      <c r="C8" s="26">
        <f t="shared" ref="C8:Y8" si="0">IF(C7&gt;0,C6/C7,0)</f>
        <v>12.6875</v>
      </c>
      <c r="D8" s="26">
        <f t="shared" si="0"/>
        <v>13.510273972602739</v>
      </c>
      <c r="E8" s="26">
        <f t="shared" si="0"/>
        <v>12.922077922077921</v>
      </c>
      <c r="F8" s="26">
        <f t="shared" si="0"/>
        <v>13.15</v>
      </c>
      <c r="G8" s="26">
        <f t="shared" si="0"/>
        <v>12.916666666666666</v>
      </c>
      <c r="H8" s="26">
        <f t="shared" si="0"/>
        <v>11.822222222222223</v>
      </c>
      <c r="I8" s="26">
        <f t="shared" si="0"/>
        <v>9.6666666666666679</v>
      </c>
      <c r="J8" s="26">
        <f t="shared" si="0"/>
        <v>7.9</v>
      </c>
      <c r="K8" s="26">
        <f t="shared" si="0"/>
        <v>9.6333333333333329</v>
      </c>
      <c r="L8" s="26">
        <f t="shared" si="0"/>
        <v>11.071428571428571</v>
      </c>
      <c r="M8" s="26">
        <f t="shared" si="0"/>
        <v>6.4444444444444446</v>
      </c>
      <c r="N8" s="26">
        <f t="shared" si="0"/>
        <v>9.6568961599636438</v>
      </c>
      <c r="O8" s="26">
        <f t="shared" si="0"/>
        <v>14.833333333333334</v>
      </c>
      <c r="P8" s="26">
        <f t="shared" si="0"/>
        <v>11.400247831474596</v>
      </c>
      <c r="Q8" s="26">
        <f t="shared" si="0"/>
        <v>10.888888888888889</v>
      </c>
      <c r="R8" s="26">
        <f t="shared" si="0"/>
        <v>5.615384615384615</v>
      </c>
      <c r="S8" s="26">
        <f t="shared" si="0"/>
        <v>8.8402270884022709</v>
      </c>
      <c r="T8" s="26">
        <f t="shared" si="0"/>
        <v>14.05</v>
      </c>
      <c r="U8" s="26">
        <f t="shared" si="0"/>
        <v>13.338815789473685</v>
      </c>
      <c r="V8" s="26">
        <f t="shared" si="0"/>
        <v>13.356164383561644</v>
      </c>
      <c r="W8" s="26">
        <f t="shared" si="0"/>
        <v>8.75</v>
      </c>
      <c r="X8" s="26">
        <f t="shared" si="0"/>
        <v>13.605769230769232</v>
      </c>
      <c r="Y8" s="26">
        <f t="shared" si="0"/>
        <v>12.419540229885058</v>
      </c>
      <c r="Z8" s="2">
        <f>SUM(C8:Y8)</f>
        <v>258.47988135057955</v>
      </c>
      <c r="AB8" s="1" t="s">
        <v>18</v>
      </c>
      <c r="AD8" s="1">
        <f>AF6/11.5</f>
        <v>34.420289855072461</v>
      </c>
    </row>
    <row r="9" spans="1:38" ht="27.75" customHeight="1" x14ac:dyDescent="0.4">
      <c r="A9" s="25"/>
      <c r="B9" s="1" t="s">
        <v>19</v>
      </c>
      <c r="C9" s="26">
        <f t="shared" ref="C9:Y9" si="1">IF(C7&gt;0,11.5,0)</f>
        <v>11.5</v>
      </c>
      <c r="D9" s="26">
        <f t="shared" si="1"/>
        <v>11.5</v>
      </c>
      <c r="E9" s="26">
        <f t="shared" si="1"/>
        <v>11.5</v>
      </c>
      <c r="F9" s="26">
        <f t="shared" si="1"/>
        <v>11.5</v>
      </c>
      <c r="G9" s="26">
        <f t="shared" si="1"/>
        <v>11.5</v>
      </c>
      <c r="H9" s="26">
        <f t="shared" si="1"/>
        <v>11.5</v>
      </c>
      <c r="I9" s="26">
        <f t="shared" si="1"/>
        <v>11.5</v>
      </c>
      <c r="J9" s="26">
        <f t="shared" si="1"/>
        <v>11.5</v>
      </c>
      <c r="K9" s="26">
        <f t="shared" si="1"/>
        <v>11.5</v>
      </c>
      <c r="L9" s="26">
        <f t="shared" si="1"/>
        <v>11.5</v>
      </c>
      <c r="M9" s="26">
        <f t="shared" si="1"/>
        <v>11.5</v>
      </c>
      <c r="N9" s="26">
        <f t="shared" si="1"/>
        <v>11.5</v>
      </c>
      <c r="O9" s="26">
        <f t="shared" si="1"/>
        <v>11.5</v>
      </c>
      <c r="P9" s="26">
        <f t="shared" si="1"/>
        <v>11.5</v>
      </c>
      <c r="Q9" s="26">
        <f t="shared" si="1"/>
        <v>11.5</v>
      </c>
      <c r="R9" s="26">
        <f t="shared" si="1"/>
        <v>11.5</v>
      </c>
      <c r="S9" s="26">
        <f t="shared" si="1"/>
        <v>11.5</v>
      </c>
      <c r="T9" s="26">
        <f t="shared" si="1"/>
        <v>11.5</v>
      </c>
      <c r="U9" s="26">
        <f t="shared" si="1"/>
        <v>11.5</v>
      </c>
      <c r="V9" s="26">
        <f t="shared" si="1"/>
        <v>11.5</v>
      </c>
      <c r="W9" s="26">
        <f t="shared" si="1"/>
        <v>11.5</v>
      </c>
      <c r="X9" s="26">
        <f t="shared" si="1"/>
        <v>11.5</v>
      </c>
      <c r="Y9" s="26">
        <f t="shared" si="1"/>
        <v>11.5</v>
      </c>
      <c r="Z9" s="2">
        <f>SUM(C9:Y9)</f>
        <v>264.5</v>
      </c>
      <c r="AB9" s="1" t="s">
        <v>20</v>
      </c>
      <c r="AD9" s="1">
        <f>Z10*AD8</f>
        <v>-207.21422887497974</v>
      </c>
    </row>
    <row r="10" spans="1:38" ht="27.75" customHeight="1" x14ac:dyDescent="0.5">
      <c r="A10" s="28"/>
      <c r="B10" s="29" t="s">
        <v>21</v>
      </c>
      <c r="C10" s="30">
        <f t="shared" ref="C10:Y10" si="2">IF(C7&gt;0,C8-C9,0)</f>
        <v>1.1875</v>
      </c>
      <c r="D10" s="30">
        <f t="shared" si="2"/>
        <v>2.0102739726027394</v>
      </c>
      <c r="E10" s="30">
        <f t="shared" si="2"/>
        <v>1.4220779220779214</v>
      </c>
      <c r="F10" s="30">
        <f t="shared" si="2"/>
        <v>1.6500000000000004</v>
      </c>
      <c r="G10" s="30">
        <f t="shared" si="2"/>
        <v>1.4166666666666661</v>
      </c>
      <c r="H10" s="30">
        <f t="shared" si="2"/>
        <v>0.32222222222222285</v>
      </c>
      <c r="I10" s="30">
        <f t="shared" si="2"/>
        <v>-1.8333333333333321</v>
      </c>
      <c r="J10" s="30">
        <f t="shared" si="2"/>
        <v>-3.5999999999999996</v>
      </c>
      <c r="K10" s="30">
        <f t="shared" si="2"/>
        <v>-1.8666666666666671</v>
      </c>
      <c r="L10" s="30">
        <f t="shared" si="2"/>
        <v>-0.42857142857142883</v>
      </c>
      <c r="M10" s="30">
        <f t="shared" si="2"/>
        <v>-5.0555555555555554</v>
      </c>
      <c r="N10" s="30">
        <f t="shared" si="2"/>
        <v>-1.8431038400363562</v>
      </c>
      <c r="O10" s="30">
        <f t="shared" si="2"/>
        <v>3.3333333333333339</v>
      </c>
      <c r="P10" s="30">
        <f t="shared" si="2"/>
        <v>-9.9752168525403917E-2</v>
      </c>
      <c r="Q10" s="30">
        <f t="shared" si="2"/>
        <v>-0.61111111111111072</v>
      </c>
      <c r="R10" s="30">
        <f t="shared" si="2"/>
        <v>-5.884615384615385</v>
      </c>
      <c r="S10" s="30">
        <f t="shared" si="2"/>
        <v>-2.6597729115977291</v>
      </c>
      <c r="T10" s="30">
        <f t="shared" si="2"/>
        <v>2.5500000000000007</v>
      </c>
      <c r="U10" s="30">
        <f t="shared" si="2"/>
        <v>1.838815789473685</v>
      </c>
      <c r="V10" s="30">
        <f t="shared" si="2"/>
        <v>1.8561643835616444</v>
      </c>
      <c r="W10" s="30">
        <f t="shared" si="2"/>
        <v>-2.75</v>
      </c>
      <c r="X10" s="30">
        <f t="shared" si="2"/>
        <v>2.1057692307692317</v>
      </c>
      <c r="Y10" s="30">
        <f t="shared" si="2"/>
        <v>0.91954022988505812</v>
      </c>
      <c r="Z10" s="2">
        <f>SUM(C10:Y10)</f>
        <v>-6.0201186494204642</v>
      </c>
      <c r="AE10" s="32">
        <f>AC10/175</f>
        <v>0</v>
      </c>
    </row>
    <row r="11" spans="1:38" ht="27.75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38" ht="27.75" customHeight="1" x14ac:dyDescent="0.4">
      <c r="C12" s="3">
        <v>1.04</v>
      </c>
      <c r="D12" s="4">
        <v>2.04</v>
      </c>
      <c r="E12" s="4">
        <v>3.04</v>
      </c>
      <c r="F12" s="4">
        <v>4.04</v>
      </c>
      <c r="G12" s="4">
        <v>6.04</v>
      </c>
      <c r="H12" s="4">
        <v>7.04</v>
      </c>
      <c r="I12" s="4">
        <v>8.0399999999999991</v>
      </c>
      <c r="J12" s="4">
        <v>9.0399999999999991</v>
      </c>
      <c r="K12" s="5">
        <v>10.039999999999999</v>
      </c>
      <c r="L12" s="4">
        <v>14.04</v>
      </c>
      <c r="M12" s="4">
        <v>16.04</v>
      </c>
      <c r="N12" s="4">
        <v>17.04</v>
      </c>
      <c r="O12" s="4">
        <v>18.04</v>
      </c>
      <c r="P12" s="4">
        <v>20.04</v>
      </c>
      <c r="Q12" s="4">
        <v>21.04</v>
      </c>
      <c r="R12" s="4">
        <v>22.04</v>
      </c>
      <c r="S12" s="4">
        <v>23.04</v>
      </c>
      <c r="T12" s="4">
        <v>24.04</v>
      </c>
      <c r="U12" s="105">
        <v>25.04</v>
      </c>
      <c r="V12" s="4">
        <v>27.04</v>
      </c>
      <c r="W12" s="5">
        <v>28.04</v>
      </c>
      <c r="X12" s="6">
        <v>29.04</v>
      </c>
      <c r="Y12" s="8">
        <v>30.04</v>
      </c>
      <c r="Z12" s="9" t="s">
        <v>1</v>
      </c>
      <c r="AA12" s="10" t="s">
        <v>2</v>
      </c>
      <c r="AB12" s="11" t="s">
        <v>3</v>
      </c>
      <c r="AC12" s="12" t="s">
        <v>4</v>
      </c>
      <c r="AD12" s="12" t="s">
        <v>5</v>
      </c>
      <c r="AE12" s="10" t="s">
        <v>6</v>
      </c>
      <c r="AF12" s="10" t="s">
        <v>7</v>
      </c>
      <c r="AG12" s="13" t="s">
        <v>8</v>
      </c>
      <c r="AH12" s="10" t="s">
        <v>9</v>
      </c>
      <c r="AI12" s="10" t="s">
        <v>10</v>
      </c>
      <c r="AJ12" s="14" t="s">
        <v>11</v>
      </c>
      <c r="AK12" s="10" t="s">
        <v>12</v>
      </c>
      <c r="AL12" s="104" t="s">
        <v>13</v>
      </c>
    </row>
    <row r="13" spans="1:38" ht="45.75" customHeight="1" x14ac:dyDescent="0.6">
      <c r="A13" s="34">
        <v>2</v>
      </c>
      <c r="B13" s="35" t="s">
        <v>22</v>
      </c>
      <c r="C13" s="17">
        <v>203</v>
      </c>
      <c r="D13" s="17">
        <v>197.25</v>
      </c>
      <c r="E13" s="18">
        <v>199</v>
      </c>
      <c r="F13" s="17">
        <v>197.25</v>
      </c>
      <c r="G13" s="17">
        <v>186</v>
      </c>
      <c r="H13" s="17">
        <f>166+68/6</f>
        <v>177.33333333333334</v>
      </c>
      <c r="I13" s="17">
        <f>149+5/6</f>
        <v>149.83333333333334</v>
      </c>
      <c r="J13" s="17">
        <v>118.5</v>
      </c>
      <c r="K13" s="19">
        <v>0</v>
      </c>
      <c r="L13" s="17">
        <f>154+6/6</f>
        <v>155</v>
      </c>
      <c r="M13" s="17">
        <v>58</v>
      </c>
      <c r="N13" s="17">
        <f>138.5+19/6</f>
        <v>141.66666666666666</v>
      </c>
      <c r="O13" s="17">
        <v>222.5</v>
      </c>
      <c r="P13" s="17">
        <v>184</v>
      </c>
      <c r="Q13" s="17">
        <f>160+20/6</f>
        <v>163.33333333333334</v>
      </c>
      <c r="R13" s="17">
        <v>73</v>
      </c>
      <c r="S13" s="17">
        <v>109</v>
      </c>
      <c r="T13" s="17">
        <v>210.75</v>
      </c>
      <c r="U13" s="106">
        <v>170</v>
      </c>
      <c r="V13" s="17">
        <v>195</v>
      </c>
      <c r="W13" s="19">
        <v>0</v>
      </c>
      <c r="X13" s="17">
        <v>212.25</v>
      </c>
      <c r="Y13" s="17">
        <f>176.25+23/6</f>
        <v>180.08333333333334</v>
      </c>
      <c r="Z13" s="20">
        <f>SUM(C13:Y13)</f>
        <v>3502.75</v>
      </c>
      <c r="AA13" s="21">
        <f>COUNTIF(C14:Y14,"&gt;0")</f>
        <v>21</v>
      </c>
      <c r="AB13" s="21">
        <f>AA13*AB4</f>
        <v>3570</v>
      </c>
      <c r="AC13" s="21">
        <f>Z13-AB13</f>
        <v>-67.25</v>
      </c>
      <c r="AD13" s="21">
        <v>24</v>
      </c>
      <c r="AE13" s="21">
        <f>AC13/175</f>
        <v>-0.38428571428571429</v>
      </c>
      <c r="AF13" s="21">
        <f>AH13/AD13</f>
        <v>262.5</v>
      </c>
      <c r="AG13" s="22">
        <f>AF13*AE13</f>
        <v>-100.875</v>
      </c>
      <c r="AH13" s="21">
        <v>6300</v>
      </c>
      <c r="AI13" s="23">
        <f>AH13+AG13</f>
        <v>6199.125</v>
      </c>
      <c r="AJ13" s="36" t="s">
        <v>22</v>
      </c>
      <c r="AK13" s="24"/>
      <c r="AL13" s="107" t="s">
        <v>57</v>
      </c>
    </row>
    <row r="14" spans="1:38" ht="27.75" customHeight="1" x14ac:dyDescent="0.4">
      <c r="A14" s="25"/>
      <c r="B14" s="1" t="s">
        <v>16</v>
      </c>
      <c r="C14" s="26">
        <v>16</v>
      </c>
      <c r="D14" s="26">
        <v>14.6</v>
      </c>
      <c r="E14" s="26">
        <v>15.4</v>
      </c>
      <c r="F14" s="26">
        <v>15</v>
      </c>
      <c r="G14" s="26">
        <v>14.4</v>
      </c>
      <c r="H14" s="26">
        <v>15</v>
      </c>
      <c r="I14" s="26">
        <v>15.5</v>
      </c>
      <c r="J14" s="26">
        <v>15</v>
      </c>
      <c r="K14" s="27">
        <v>0</v>
      </c>
      <c r="L14" s="26">
        <v>14</v>
      </c>
      <c r="M14" s="26">
        <v>9</v>
      </c>
      <c r="N14" s="26">
        <v>14.67</v>
      </c>
      <c r="O14" s="26">
        <v>15</v>
      </c>
      <c r="P14" s="26">
        <v>16.14</v>
      </c>
      <c r="Q14" s="26">
        <v>15</v>
      </c>
      <c r="R14" s="26">
        <v>13</v>
      </c>
      <c r="S14" s="26">
        <v>12.33</v>
      </c>
      <c r="T14" s="26">
        <v>15</v>
      </c>
      <c r="U14" s="108">
        <v>15.2</v>
      </c>
      <c r="V14" s="26">
        <v>14.6</v>
      </c>
      <c r="W14" s="27">
        <v>0</v>
      </c>
      <c r="X14" s="26">
        <v>15.6</v>
      </c>
      <c r="Y14" s="26">
        <v>14.5</v>
      </c>
    </row>
    <row r="15" spans="1:38" ht="27.75" customHeight="1" x14ac:dyDescent="0.4">
      <c r="A15" s="25"/>
      <c r="B15" s="1" t="s">
        <v>17</v>
      </c>
      <c r="C15" s="26">
        <f t="shared" ref="C15:Y15" si="3">IF(C14&gt;0,C13/C14,0)</f>
        <v>12.6875</v>
      </c>
      <c r="D15" s="26">
        <f t="shared" si="3"/>
        <v>13.510273972602739</v>
      </c>
      <c r="E15" s="26">
        <f t="shared" si="3"/>
        <v>12.922077922077921</v>
      </c>
      <c r="F15" s="26">
        <f t="shared" si="3"/>
        <v>13.15</v>
      </c>
      <c r="G15" s="26">
        <f t="shared" si="3"/>
        <v>12.916666666666666</v>
      </c>
      <c r="H15" s="26">
        <f t="shared" si="3"/>
        <v>11.822222222222223</v>
      </c>
      <c r="I15" s="26">
        <f t="shared" si="3"/>
        <v>9.6666666666666679</v>
      </c>
      <c r="J15" s="26">
        <f t="shared" si="3"/>
        <v>7.9</v>
      </c>
      <c r="K15" s="27">
        <f t="shared" si="3"/>
        <v>0</v>
      </c>
      <c r="L15" s="26">
        <f t="shared" si="3"/>
        <v>11.071428571428571</v>
      </c>
      <c r="M15" s="26">
        <f t="shared" si="3"/>
        <v>6.4444444444444446</v>
      </c>
      <c r="N15" s="26">
        <f t="shared" si="3"/>
        <v>9.6568961599636438</v>
      </c>
      <c r="O15" s="26">
        <f t="shared" si="3"/>
        <v>14.833333333333334</v>
      </c>
      <c r="P15" s="26">
        <f t="shared" si="3"/>
        <v>11.400247831474596</v>
      </c>
      <c r="Q15" s="26">
        <f t="shared" si="3"/>
        <v>10.888888888888889</v>
      </c>
      <c r="R15" s="26">
        <f t="shared" si="3"/>
        <v>5.615384615384615</v>
      </c>
      <c r="S15" s="26">
        <f t="shared" si="3"/>
        <v>8.8402270884022709</v>
      </c>
      <c r="T15" s="26">
        <f t="shared" si="3"/>
        <v>14.05</v>
      </c>
      <c r="U15" s="108">
        <f t="shared" si="3"/>
        <v>11.184210526315789</v>
      </c>
      <c r="V15" s="26">
        <f t="shared" si="3"/>
        <v>13.356164383561644</v>
      </c>
      <c r="W15" s="27">
        <f t="shared" si="3"/>
        <v>0</v>
      </c>
      <c r="X15" s="26">
        <f t="shared" si="3"/>
        <v>13.605769230769232</v>
      </c>
      <c r="Y15" s="26">
        <f t="shared" si="3"/>
        <v>12.419540229885058</v>
      </c>
      <c r="Z15" s="2">
        <f>SUM(C15:Y15)</f>
        <v>237.94194275408827</v>
      </c>
      <c r="AB15" s="1" t="s">
        <v>18</v>
      </c>
      <c r="AD15" s="1">
        <f>AF13/11.5</f>
        <v>22.826086956521738</v>
      </c>
    </row>
    <row r="16" spans="1:38" ht="27.75" customHeight="1" x14ac:dyDescent="0.4">
      <c r="A16" s="25"/>
      <c r="B16" s="1" t="s">
        <v>19</v>
      </c>
      <c r="C16" s="26">
        <f t="shared" ref="C16:Y16" si="4">IF(C14&gt;0,11.5,0)</f>
        <v>11.5</v>
      </c>
      <c r="D16" s="26">
        <f t="shared" si="4"/>
        <v>11.5</v>
      </c>
      <c r="E16" s="26">
        <f t="shared" si="4"/>
        <v>11.5</v>
      </c>
      <c r="F16" s="26">
        <f t="shared" si="4"/>
        <v>11.5</v>
      </c>
      <c r="G16" s="26">
        <f t="shared" si="4"/>
        <v>11.5</v>
      </c>
      <c r="H16" s="26">
        <f t="shared" si="4"/>
        <v>11.5</v>
      </c>
      <c r="I16" s="26">
        <f t="shared" si="4"/>
        <v>11.5</v>
      </c>
      <c r="J16" s="26">
        <f t="shared" si="4"/>
        <v>11.5</v>
      </c>
      <c r="K16" s="27">
        <f t="shared" si="4"/>
        <v>0</v>
      </c>
      <c r="L16" s="26">
        <f t="shared" si="4"/>
        <v>11.5</v>
      </c>
      <c r="M16" s="26">
        <f t="shared" si="4"/>
        <v>11.5</v>
      </c>
      <c r="N16" s="26">
        <f t="shared" si="4"/>
        <v>11.5</v>
      </c>
      <c r="O16" s="26">
        <f t="shared" si="4"/>
        <v>11.5</v>
      </c>
      <c r="P16" s="26">
        <f t="shared" si="4"/>
        <v>11.5</v>
      </c>
      <c r="Q16" s="26">
        <f t="shared" si="4"/>
        <v>11.5</v>
      </c>
      <c r="R16" s="26">
        <f t="shared" si="4"/>
        <v>11.5</v>
      </c>
      <c r="S16" s="26">
        <f t="shared" si="4"/>
        <v>11.5</v>
      </c>
      <c r="T16" s="26">
        <f t="shared" si="4"/>
        <v>11.5</v>
      </c>
      <c r="U16" s="108">
        <f t="shared" si="4"/>
        <v>11.5</v>
      </c>
      <c r="V16" s="26">
        <f t="shared" si="4"/>
        <v>11.5</v>
      </c>
      <c r="W16" s="27">
        <f t="shared" si="4"/>
        <v>0</v>
      </c>
      <c r="X16" s="26">
        <f t="shared" si="4"/>
        <v>11.5</v>
      </c>
      <c r="Y16" s="26">
        <f t="shared" si="4"/>
        <v>11.5</v>
      </c>
      <c r="Z16" s="2">
        <f>SUM(C16:Y16)</f>
        <v>241.5</v>
      </c>
      <c r="AB16" s="1" t="s">
        <v>20</v>
      </c>
      <c r="AD16" s="1">
        <f>Z17*AD15</f>
        <v>-81.216524091462546</v>
      </c>
    </row>
    <row r="17" spans="1:38" ht="27.75" customHeight="1" x14ac:dyDescent="0.4">
      <c r="A17" s="28"/>
      <c r="B17" s="29" t="s">
        <v>21</v>
      </c>
      <c r="C17" s="30">
        <f t="shared" ref="C17:Y17" si="5">IF(C14&gt;0,C15-C16,0)</f>
        <v>1.1875</v>
      </c>
      <c r="D17" s="30">
        <f t="shared" si="5"/>
        <v>2.0102739726027394</v>
      </c>
      <c r="E17" s="30">
        <f t="shared" si="5"/>
        <v>1.4220779220779214</v>
      </c>
      <c r="F17" s="30">
        <f t="shared" si="5"/>
        <v>1.6500000000000004</v>
      </c>
      <c r="G17" s="30">
        <f t="shared" si="5"/>
        <v>1.4166666666666661</v>
      </c>
      <c r="H17" s="30">
        <f t="shared" si="5"/>
        <v>0.32222222222222285</v>
      </c>
      <c r="I17" s="30">
        <f t="shared" si="5"/>
        <v>-1.8333333333333321</v>
      </c>
      <c r="J17" s="30">
        <f t="shared" si="5"/>
        <v>-3.5999999999999996</v>
      </c>
      <c r="K17" s="31">
        <f t="shared" si="5"/>
        <v>0</v>
      </c>
      <c r="L17" s="30">
        <f t="shared" si="5"/>
        <v>-0.42857142857142883</v>
      </c>
      <c r="M17" s="30">
        <f t="shared" si="5"/>
        <v>-5.0555555555555554</v>
      </c>
      <c r="N17" s="30">
        <f t="shared" si="5"/>
        <v>-1.8431038400363562</v>
      </c>
      <c r="O17" s="30">
        <f t="shared" si="5"/>
        <v>3.3333333333333339</v>
      </c>
      <c r="P17" s="30">
        <f t="shared" si="5"/>
        <v>-9.9752168525403917E-2</v>
      </c>
      <c r="Q17" s="30">
        <f t="shared" si="5"/>
        <v>-0.61111111111111072</v>
      </c>
      <c r="R17" s="30">
        <f t="shared" si="5"/>
        <v>-5.884615384615385</v>
      </c>
      <c r="S17" s="30">
        <f t="shared" si="5"/>
        <v>-2.6597729115977291</v>
      </c>
      <c r="T17" s="30">
        <f t="shared" si="5"/>
        <v>2.5500000000000007</v>
      </c>
      <c r="U17" s="109">
        <f t="shared" si="5"/>
        <v>-0.31578947368421062</v>
      </c>
      <c r="V17" s="30">
        <f t="shared" si="5"/>
        <v>1.8561643835616444</v>
      </c>
      <c r="W17" s="31">
        <f t="shared" si="5"/>
        <v>0</v>
      </c>
      <c r="X17" s="30">
        <f t="shared" si="5"/>
        <v>2.1057692307692317</v>
      </c>
      <c r="Y17" s="30">
        <f t="shared" si="5"/>
        <v>0.91954022988505812</v>
      </c>
      <c r="Z17" s="2">
        <f>SUM(C17:Y17)</f>
        <v>-3.5580572459116926</v>
      </c>
      <c r="AE17">
        <f>AC17/175</f>
        <v>0</v>
      </c>
    </row>
    <row r="18" spans="1:38" ht="27.75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38" ht="27.75" customHeight="1" x14ac:dyDescent="0.3"/>
    <row r="20" spans="1:38" ht="27.75" customHeight="1" x14ac:dyDescent="0.4">
      <c r="B20" s="1" t="s">
        <v>23</v>
      </c>
      <c r="C20" s="3">
        <v>1.04</v>
      </c>
      <c r="D20" s="4">
        <v>2.04</v>
      </c>
      <c r="E20" s="4">
        <v>3.04</v>
      </c>
      <c r="F20" s="4">
        <v>4.04</v>
      </c>
      <c r="G20" s="4">
        <v>6.04</v>
      </c>
      <c r="H20" s="4">
        <v>7.04</v>
      </c>
      <c r="I20" s="4">
        <v>8.0399999999999991</v>
      </c>
      <c r="J20" s="4">
        <v>9.0399999999999991</v>
      </c>
      <c r="K20" s="4">
        <v>10.039999999999999</v>
      </c>
      <c r="L20" s="4">
        <v>14.04</v>
      </c>
      <c r="M20" s="4">
        <v>16.04</v>
      </c>
      <c r="N20" s="4">
        <v>17.04</v>
      </c>
      <c r="O20" s="4">
        <v>18.04</v>
      </c>
      <c r="P20" s="4">
        <v>20.04</v>
      </c>
      <c r="Q20" s="4">
        <v>21.04</v>
      </c>
      <c r="R20" s="4">
        <v>22.04</v>
      </c>
      <c r="S20" s="4">
        <v>23.04</v>
      </c>
      <c r="T20" s="4">
        <v>24.04</v>
      </c>
      <c r="U20" s="4">
        <v>25.04</v>
      </c>
      <c r="V20" s="105">
        <v>27.04</v>
      </c>
      <c r="W20" s="5">
        <v>28.04</v>
      </c>
      <c r="X20" s="6">
        <v>29.04</v>
      </c>
      <c r="Y20" s="8">
        <v>30.04</v>
      </c>
      <c r="Z20" s="9" t="s">
        <v>1</v>
      </c>
      <c r="AA20" s="10" t="s">
        <v>2</v>
      </c>
      <c r="AB20" s="11" t="s">
        <v>3</v>
      </c>
      <c r="AC20" s="12" t="s">
        <v>4</v>
      </c>
      <c r="AD20" s="12" t="s">
        <v>5</v>
      </c>
      <c r="AE20" s="10" t="s">
        <v>6</v>
      </c>
      <c r="AF20" s="10" t="s">
        <v>7</v>
      </c>
      <c r="AG20" s="13" t="s">
        <v>8</v>
      </c>
      <c r="AH20" s="10" t="s">
        <v>9</v>
      </c>
      <c r="AI20" s="10" t="s">
        <v>10</v>
      </c>
      <c r="AJ20" s="14" t="s">
        <v>11</v>
      </c>
      <c r="AK20" s="10" t="s">
        <v>12</v>
      </c>
      <c r="AL20" s="104" t="s">
        <v>13</v>
      </c>
    </row>
    <row r="21" spans="1:38" ht="48" customHeight="1" x14ac:dyDescent="0.6">
      <c r="A21" s="15">
        <v>3</v>
      </c>
      <c r="B21" s="16" t="s">
        <v>24</v>
      </c>
      <c r="C21" s="17">
        <v>203</v>
      </c>
      <c r="D21" s="17">
        <v>197.25</v>
      </c>
      <c r="E21" s="18">
        <v>199</v>
      </c>
      <c r="F21" s="17">
        <v>197.25</v>
      </c>
      <c r="G21" s="17">
        <v>186</v>
      </c>
      <c r="H21" s="17">
        <f>166+68/6</f>
        <v>177.33333333333334</v>
      </c>
      <c r="I21" s="17">
        <f>149+5/6</f>
        <v>149.83333333333334</v>
      </c>
      <c r="J21" s="17">
        <v>118.5</v>
      </c>
      <c r="K21" s="17">
        <v>144.5</v>
      </c>
      <c r="L21" s="17">
        <f>154+6/6</f>
        <v>155</v>
      </c>
      <c r="M21" s="17">
        <v>58</v>
      </c>
      <c r="N21" s="17">
        <f>138.5+19/6</f>
        <v>141.66666666666666</v>
      </c>
      <c r="O21" s="17">
        <v>222.5</v>
      </c>
      <c r="P21" s="17">
        <v>184</v>
      </c>
      <c r="Q21" s="17">
        <f>160+20/6</f>
        <v>163.33333333333334</v>
      </c>
      <c r="R21" s="17">
        <v>73</v>
      </c>
      <c r="S21" s="17">
        <v>109</v>
      </c>
      <c r="T21" s="17">
        <v>210.75</v>
      </c>
      <c r="U21" s="17">
        <v>202.75</v>
      </c>
      <c r="V21" s="106">
        <v>195</v>
      </c>
      <c r="W21" s="19">
        <v>0</v>
      </c>
      <c r="X21" s="17">
        <v>212.25</v>
      </c>
      <c r="Y21" s="17">
        <f>176.25+23/6</f>
        <v>180.08333333333334</v>
      </c>
      <c r="Z21" s="20">
        <f>SUM(C21:Y21)</f>
        <v>3680</v>
      </c>
      <c r="AA21" s="21">
        <f>COUNTIF(C22:Y22,"&gt;0")</f>
        <v>22</v>
      </c>
      <c r="AB21" s="21">
        <f>AA21*AB4</f>
        <v>3740</v>
      </c>
      <c r="AC21" s="21">
        <f>Z21-AB21</f>
        <v>-60</v>
      </c>
      <c r="AD21" s="21">
        <f>AD4</f>
        <v>24</v>
      </c>
      <c r="AE21" s="21">
        <f>AC21/175</f>
        <v>-0.34285714285714286</v>
      </c>
      <c r="AF21" s="21">
        <f>AH21/AD21</f>
        <v>395.83333333333331</v>
      </c>
      <c r="AG21" s="22">
        <f>AF21*AE21</f>
        <v>-135.71428571428572</v>
      </c>
      <c r="AH21" s="21">
        <v>9500</v>
      </c>
      <c r="AI21" s="23">
        <f>AH21+AG21</f>
        <v>9364.2857142857138</v>
      </c>
      <c r="AJ21" s="16" t="s">
        <v>24</v>
      </c>
      <c r="AK21" s="37"/>
      <c r="AL21" s="110" t="s">
        <v>58</v>
      </c>
    </row>
    <row r="22" spans="1:38" ht="27.75" customHeight="1" x14ac:dyDescent="0.4">
      <c r="A22" s="25"/>
      <c r="B22" s="2"/>
      <c r="C22" s="26">
        <v>16</v>
      </c>
      <c r="D22" s="26">
        <v>14.6</v>
      </c>
      <c r="E22" s="26">
        <v>15.4</v>
      </c>
      <c r="F22" s="26">
        <v>15</v>
      </c>
      <c r="G22" s="26">
        <v>14.4</v>
      </c>
      <c r="H22" s="26">
        <v>15</v>
      </c>
      <c r="I22" s="26">
        <v>15.5</v>
      </c>
      <c r="J22" s="26">
        <v>15</v>
      </c>
      <c r="K22" s="26">
        <v>15</v>
      </c>
      <c r="L22" s="26">
        <v>14</v>
      </c>
      <c r="M22" s="26">
        <v>9</v>
      </c>
      <c r="N22" s="26">
        <v>14.67</v>
      </c>
      <c r="O22" s="26">
        <v>15</v>
      </c>
      <c r="P22" s="26">
        <v>16.14</v>
      </c>
      <c r="Q22" s="26">
        <v>15</v>
      </c>
      <c r="R22" s="26">
        <v>13</v>
      </c>
      <c r="S22" s="26">
        <v>12.33</v>
      </c>
      <c r="T22" s="26">
        <v>15</v>
      </c>
      <c r="U22" s="26">
        <v>15.2</v>
      </c>
      <c r="V22" s="108">
        <v>14.6</v>
      </c>
      <c r="W22" s="27">
        <v>0</v>
      </c>
      <c r="X22" s="26">
        <v>15.6</v>
      </c>
      <c r="Y22" s="26">
        <v>14.5</v>
      </c>
    </row>
    <row r="23" spans="1:38" ht="27.75" customHeight="1" x14ac:dyDescent="0.4">
      <c r="A23" s="25"/>
      <c r="B23" s="2" t="s">
        <v>17</v>
      </c>
      <c r="C23" s="26">
        <f t="shared" ref="C23:Y23" si="6">IF(C22&gt;0,C21/C22,0)</f>
        <v>12.6875</v>
      </c>
      <c r="D23" s="26">
        <f t="shared" si="6"/>
        <v>13.510273972602739</v>
      </c>
      <c r="E23" s="26">
        <f t="shared" si="6"/>
        <v>12.922077922077921</v>
      </c>
      <c r="F23" s="26">
        <f t="shared" si="6"/>
        <v>13.15</v>
      </c>
      <c r="G23" s="26">
        <f t="shared" si="6"/>
        <v>12.916666666666666</v>
      </c>
      <c r="H23" s="26">
        <f t="shared" si="6"/>
        <v>11.822222222222223</v>
      </c>
      <c r="I23" s="26">
        <f t="shared" si="6"/>
        <v>9.6666666666666679</v>
      </c>
      <c r="J23" s="26">
        <f t="shared" si="6"/>
        <v>7.9</v>
      </c>
      <c r="K23" s="26">
        <f t="shared" si="6"/>
        <v>9.6333333333333329</v>
      </c>
      <c r="L23" s="26">
        <f t="shared" si="6"/>
        <v>11.071428571428571</v>
      </c>
      <c r="M23" s="26">
        <f t="shared" si="6"/>
        <v>6.4444444444444446</v>
      </c>
      <c r="N23" s="26">
        <f t="shared" si="6"/>
        <v>9.6568961599636438</v>
      </c>
      <c r="O23" s="26">
        <f t="shared" si="6"/>
        <v>14.833333333333334</v>
      </c>
      <c r="P23" s="26">
        <f t="shared" si="6"/>
        <v>11.400247831474596</v>
      </c>
      <c r="Q23" s="26">
        <f t="shared" si="6"/>
        <v>10.888888888888889</v>
      </c>
      <c r="R23" s="26">
        <f t="shared" si="6"/>
        <v>5.615384615384615</v>
      </c>
      <c r="S23" s="26">
        <f t="shared" si="6"/>
        <v>8.8402270884022709</v>
      </c>
      <c r="T23" s="26">
        <f t="shared" si="6"/>
        <v>14.05</v>
      </c>
      <c r="U23" s="26">
        <f t="shared" si="6"/>
        <v>13.338815789473685</v>
      </c>
      <c r="V23" s="108">
        <f t="shared" si="6"/>
        <v>13.356164383561644</v>
      </c>
      <c r="W23" s="27">
        <f t="shared" si="6"/>
        <v>0</v>
      </c>
      <c r="X23" s="26">
        <f t="shared" si="6"/>
        <v>13.605769230769232</v>
      </c>
      <c r="Y23" s="26">
        <f t="shared" si="6"/>
        <v>12.419540229885058</v>
      </c>
      <c r="Z23" s="2">
        <f>SUM(C23:Y23)</f>
        <v>249.72988135057955</v>
      </c>
      <c r="AB23" s="1" t="s">
        <v>18</v>
      </c>
      <c r="AD23" s="1">
        <f>AF21/11.5</f>
        <v>34.420289855072461</v>
      </c>
    </row>
    <row r="24" spans="1:38" ht="27.75" customHeight="1" x14ac:dyDescent="0.4">
      <c r="A24" s="25"/>
      <c r="B24" s="2" t="s">
        <v>19</v>
      </c>
      <c r="C24" s="26">
        <f t="shared" ref="C24:Y24" si="7">IF(C22&gt;0,11.5,0)</f>
        <v>11.5</v>
      </c>
      <c r="D24" s="26">
        <f t="shared" si="7"/>
        <v>11.5</v>
      </c>
      <c r="E24" s="26">
        <f t="shared" si="7"/>
        <v>11.5</v>
      </c>
      <c r="F24" s="26">
        <f t="shared" si="7"/>
        <v>11.5</v>
      </c>
      <c r="G24" s="26">
        <f t="shared" si="7"/>
        <v>11.5</v>
      </c>
      <c r="H24" s="26">
        <f t="shared" si="7"/>
        <v>11.5</v>
      </c>
      <c r="I24" s="26">
        <f t="shared" si="7"/>
        <v>11.5</v>
      </c>
      <c r="J24" s="26">
        <f t="shared" si="7"/>
        <v>11.5</v>
      </c>
      <c r="K24" s="26">
        <f t="shared" si="7"/>
        <v>11.5</v>
      </c>
      <c r="L24" s="26">
        <f t="shared" si="7"/>
        <v>11.5</v>
      </c>
      <c r="M24" s="26">
        <f t="shared" si="7"/>
        <v>11.5</v>
      </c>
      <c r="N24" s="26">
        <f t="shared" si="7"/>
        <v>11.5</v>
      </c>
      <c r="O24" s="26">
        <f t="shared" si="7"/>
        <v>11.5</v>
      </c>
      <c r="P24" s="26">
        <f t="shared" si="7"/>
        <v>11.5</v>
      </c>
      <c r="Q24" s="26">
        <f t="shared" si="7"/>
        <v>11.5</v>
      </c>
      <c r="R24" s="26">
        <f t="shared" si="7"/>
        <v>11.5</v>
      </c>
      <c r="S24" s="26">
        <f t="shared" si="7"/>
        <v>11.5</v>
      </c>
      <c r="T24" s="26">
        <f t="shared" si="7"/>
        <v>11.5</v>
      </c>
      <c r="U24" s="26">
        <f t="shared" si="7"/>
        <v>11.5</v>
      </c>
      <c r="V24" s="108">
        <f t="shared" si="7"/>
        <v>11.5</v>
      </c>
      <c r="W24" s="27">
        <f t="shared" si="7"/>
        <v>0</v>
      </c>
      <c r="X24" s="26">
        <f t="shared" si="7"/>
        <v>11.5</v>
      </c>
      <c r="Y24" s="26">
        <f t="shared" si="7"/>
        <v>11.5</v>
      </c>
      <c r="Z24" s="2">
        <f>SUM(C24:Y24)</f>
        <v>253</v>
      </c>
      <c r="AB24" s="1" t="s">
        <v>20</v>
      </c>
      <c r="AD24" s="1">
        <f>Z25*AD23</f>
        <v>-112.55843177353046</v>
      </c>
      <c r="AK24" s="1"/>
      <c r="AL24" s="1"/>
    </row>
    <row r="25" spans="1:38" ht="27.75" customHeight="1" x14ac:dyDescent="0.4">
      <c r="A25" s="28"/>
      <c r="B25" s="30" t="s">
        <v>21</v>
      </c>
      <c r="C25" s="30">
        <f t="shared" ref="C25:Y25" si="8">IF(C22&gt;0,C23-C24,0)</f>
        <v>1.1875</v>
      </c>
      <c r="D25" s="30">
        <f t="shared" si="8"/>
        <v>2.0102739726027394</v>
      </c>
      <c r="E25" s="30">
        <f t="shared" si="8"/>
        <v>1.4220779220779214</v>
      </c>
      <c r="F25" s="30">
        <f t="shared" si="8"/>
        <v>1.6500000000000004</v>
      </c>
      <c r="G25" s="30">
        <f t="shared" si="8"/>
        <v>1.4166666666666661</v>
      </c>
      <c r="H25" s="30">
        <f t="shared" si="8"/>
        <v>0.32222222222222285</v>
      </c>
      <c r="I25" s="30">
        <f t="shared" si="8"/>
        <v>-1.8333333333333321</v>
      </c>
      <c r="J25" s="30">
        <f t="shared" si="8"/>
        <v>-3.5999999999999996</v>
      </c>
      <c r="K25" s="30">
        <f t="shared" si="8"/>
        <v>-1.8666666666666671</v>
      </c>
      <c r="L25" s="30">
        <f t="shared" si="8"/>
        <v>-0.42857142857142883</v>
      </c>
      <c r="M25" s="30">
        <f t="shared" si="8"/>
        <v>-5.0555555555555554</v>
      </c>
      <c r="N25" s="30">
        <f t="shared" si="8"/>
        <v>-1.8431038400363562</v>
      </c>
      <c r="O25" s="30">
        <f t="shared" si="8"/>
        <v>3.3333333333333339</v>
      </c>
      <c r="P25" s="30">
        <f t="shared" si="8"/>
        <v>-9.9752168525403917E-2</v>
      </c>
      <c r="Q25" s="30">
        <f t="shared" si="8"/>
        <v>-0.61111111111111072</v>
      </c>
      <c r="R25" s="30">
        <f t="shared" si="8"/>
        <v>-5.884615384615385</v>
      </c>
      <c r="S25" s="30">
        <f t="shared" si="8"/>
        <v>-2.6597729115977291</v>
      </c>
      <c r="T25" s="30">
        <f t="shared" si="8"/>
        <v>2.5500000000000007</v>
      </c>
      <c r="U25" s="30">
        <f t="shared" si="8"/>
        <v>1.838815789473685</v>
      </c>
      <c r="V25" s="109">
        <f t="shared" si="8"/>
        <v>1.8561643835616444</v>
      </c>
      <c r="W25" s="31">
        <f t="shared" si="8"/>
        <v>0</v>
      </c>
      <c r="X25" s="30">
        <f t="shared" si="8"/>
        <v>2.1057692307692317</v>
      </c>
      <c r="Y25" s="30">
        <f t="shared" si="8"/>
        <v>0.91954022988505812</v>
      </c>
      <c r="Z25" s="2">
        <f>SUM(C25:Y25)</f>
        <v>-3.2701186494204642</v>
      </c>
      <c r="AE25">
        <f>AC25/175</f>
        <v>0</v>
      </c>
      <c r="AG25" s="1"/>
    </row>
    <row r="26" spans="1:38" ht="27.75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38" ht="27.75" customHeight="1" x14ac:dyDescent="0.4">
      <c r="B27" s="1" t="s">
        <v>26</v>
      </c>
      <c r="C27" s="3">
        <v>1.04</v>
      </c>
      <c r="D27" s="4">
        <v>2.04</v>
      </c>
      <c r="E27" s="4">
        <v>3.04</v>
      </c>
      <c r="F27" s="4">
        <v>4.04</v>
      </c>
      <c r="G27" s="4">
        <v>6.04</v>
      </c>
      <c r="H27" s="4">
        <v>7.04</v>
      </c>
      <c r="I27" s="4">
        <v>8.0399999999999991</v>
      </c>
      <c r="J27" s="4">
        <v>9.0399999999999991</v>
      </c>
      <c r="K27" s="4">
        <v>10.039999999999999</v>
      </c>
      <c r="L27" s="5">
        <v>14.04</v>
      </c>
      <c r="M27" s="4">
        <v>16.04</v>
      </c>
      <c r="N27" s="4">
        <v>17.04</v>
      </c>
      <c r="O27" s="4">
        <v>18.04</v>
      </c>
      <c r="P27" s="4">
        <v>20.04</v>
      </c>
      <c r="Q27" s="4">
        <v>21.04</v>
      </c>
      <c r="R27" s="4">
        <v>22.04</v>
      </c>
      <c r="S27" s="4">
        <v>23.04</v>
      </c>
      <c r="T27" s="4">
        <v>24.04</v>
      </c>
      <c r="U27" s="4">
        <v>25.04</v>
      </c>
      <c r="V27" s="4">
        <v>27.04</v>
      </c>
      <c r="W27" s="4">
        <v>28.04</v>
      </c>
      <c r="X27" s="6">
        <v>29.04</v>
      </c>
      <c r="Y27" s="8">
        <v>30.04</v>
      </c>
      <c r="Z27" s="9" t="s">
        <v>1</v>
      </c>
      <c r="AA27" s="10" t="s">
        <v>2</v>
      </c>
      <c r="AB27" s="11" t="s">
        <v>3</v>
      </c>
      <c r="AC27" s="12" t="s">
        <v>4</v>
      </c>
      <c r="AD27" s="12" t="s">
        <v>5</v>
      </c>
      <c r="AE27" s="10" t="s">
        <v>6</v>
      </c>
      <c r="AF27" s="10" t="s">
        <v>7</v>
      </c>
      <c r="AG27" s="13" t="s">
        <v>8</v>
      </c>
      <c r="AH27" s="10" t="s">
        <v>9</v>
      </c>
      <c r="AI27" s="10" t="s">
        <v>10</v>
      </c>
      <c r="AJ27" s="14" t="s">
        <v>11</v>
      </c>
      <c r="AK27" s="10" t="s">
        <v>12</v>
      </c>
      <c r="AL27" s="104" t="s">
        <v>13</v>
      </c>
    </row>
    <row r="28" spans="1:38" ht="44.25" customHeight="1" x14ac:dyDescent="0.6">
      <c r="A28" s="15">
        <v>4</v>
      </c>
      <c r="B28" s="16" t="s">
        <v>27</v>
      </c>
      <c r="C28" s="17">
        <v>203</v>
      </c>
      <c r="D28" s="17">
        <v>197.25</v>
      </c>
      <c r="E28" s="18">
        <v>199</v>
      </c>
      <c r="F28" s="17">
        <v>197.25</v>
      </c>
      <c r="G28" s="17">
        <v>186</v>
      </c>
      <c r="H28" s="17">
        <f>166+68/6</f>
        <v>177.33333333333334</v>
      </c>
      <c r="I28" s="17">
        <f>149+5/6</f>
        <v>149.83333333333334</v>
      </c>
      <c r="J28" s="17">
        <v>118.5</v>
      </c>
      <c r="K28" s="17">
        <v>144.5</v>
      </c>
      <c r="L28" s="19">
        <v>0</v>
      </c>
      <c r="M28" s="17">
        <v>58</v>
      </c>
      <c r="N28" s="17">
        <f>138.5+19/6</f>
        <v>141.66666666666666</v>
      </c>
      <c r="O28" s="17">
        <v>222.5</v>
      </c>
      <c r="P28" s="17">
        <v>184</v>
      </c>
      <c r="Q28" s="17">
        <f>160+20/6</f>
        <v>163.33333333333334</v>
      </c>
      <c r="R28" s="17">
        <v>73</v>
      </c>
      <c r="S28" s="17">
        <v>109</v>
      </c>
      <c r="T28" s="17">
        <v>210.75</v>
      </c>
      <c r="U28" s="17">
        <v>202.75</v>
      </c>
      <c r="V28" s="17">
        <v>195</v>
      </c>
      <c r="W28" s="17">
        <v>87.5</v>
      </c>
      <c r="X28" s="17">
        <v>212.25</v>
      </c>
      <c r="Y28" s="17">
        <f>176.25+23/6</f>
        <v>180.08333333333334</v>
      </c>
      <c r="Z28" s="20">
        <f>SUM(C28:Y28)</f>
        <v>3612.5</v>
      </c>
      <c r="AA28" s="21">
        <f>COUNTIF(C29:Y29,"&gt;0")</f>
        <v>22</v>
      </c>
      <c r="AB28" s="21">
        <f>AA28*AB4</f>
        <v>3740</v>
      </c>
      <c r="AC28" s="21">
        <f>Z28-AB28</f>
        <v>-127.5</v>
      </c>
      <c r="AD28" s="21">
        <f>AD4</f>
        <v>24</v>
      </c>
      <c r="AE28" s="21">
        <f>AC28/175</f>
        <v>-0.72857142857142854</v>
      </c>
      <c r="AF28" s="21">
        <f>AH28/AD28</f>
        <v>312.5</v>
      </c>
      <c r="AG28" s="22">
        <f>AF28*AE28</f>
        <v>-227.67857142857142</v>
      </c>
      <c r="AH28" s="21">
        <v>7500</v>
      </c>
      <c r="AI28" s="23">
        <f>AH28+AG28</f>
        <v>7272.3214285714284</v>
      </c>
      <c r="AJ28" s="16" t="s">
        <v>27</v>
      </c>
      <c r="AK28" s="24"/>
      <c r="AL28" s="24"/>
    </row>
    <row r="29" spans="1:38" ht="27.75" customHeight="1" x14ac:dyDescent="0.4">
      <c r="A29" s="25"/>
      <c r="B29" s="1" t="s">
        <v>16</v>
      </c>
      <c r="C29" s="26">
        <v>16</v>
      </c>
      <c r="D29" s="26">
        <v>14.6</v>
      </c>
      <c r="E29" s="26">
        <v>15.4</v>
      </c>
      <c r="F29" s="26">
        <v>15</v>
      </c>
      <c r="G29" s="26">
        <v>14.4</v>
      </c>
      <c r="H29" s="26">
        <v>15</v>
      </c>
      <c r="I29" s="26">
        <v>15.5</v>
      </c>
      <c r="J29" s="26">
        <v>15</v>
      </c>
      <c r="K29" s="26">
        <v>15</v>
      </c>
      <c r="L29" s="27">
        <v>0</v>
      </c>
      <c r="M29" s="26">
        <v>9</v>
      </c>
      <c r="N29" s="26">
        <v>14.67</v>
      </c>
      <c r="O29" s="26">
        <v>15</v>
      </c>
      <c r="P29" s="26">
        <v>16.14</v>
      </c>
      <c r="Q29" s="26">
        <v>15</v>
      </c>
      <c r="R29" s="26">
        <v>13</v>
      </c>
      <c r="S29" s="26">
        <v>12.33</v>
      </c>
      <c r="T29" s="26">
        <v>15</v>
      </c>
      <c r="U29" s="26">
        <v>15.2</v>
      </c>
      <c r="V29" s="26">
        <v>14.6</v>
      </c>
      <c r="W29" s="26">
        <v>10</v>
      </c>
      <c r="X29" s="26">
        <v>15.6</v>
      </c>
      <c r="Y29" s="26">
        <v>14.5</v>
      </c>
    </row>
    <row r="30" spans="1:38" ht="27.75" customHeight="1" x14ac:dyDescent="0.4">
      <c r="A30" s="25"/>
      <c r="B30" s="1" t="s">
        <v>17</v>
      </c>
      <c r="C30" s="26">
        <f t="shared" ref="C30:Y30" si="9">IF(C29&gt;0,C28/C29,0)</f>
        <v>12.6875</v>
      </c>
      <c r="D30" s="26">
        <f t="shared" si="9"/>
        <v>13.510273972602739</v>
      </c>
      <c r="E30" s="26">
        <f t="shared" si="9"/>
        <v>12.922077922077921</v>
      </c>
      <c r="F30" s="26">
        <f t="shared" si="9"/>
        <v>13.15</v>
      </c>
      <c r="G30" s="26">
        <f t="shared" si="9"/>
        <v>12.916666666666666</v>
      </c>
      <c r="H30" s="26">
        <f t="shared" si="9"/>
        <v>11.822222222222223</v>
      </c>
      <c r="I30" s="26">
        <f t="shared" si="9"/>
        <v>9.6666666666666679</v>
      </c>
      <c r="J30" s="26">
        <f t="shared" si="9"/>
        <v>7.9</v>
      </c>
      <c r="K30" s="26">
        <f t="shared" si="9"/>
        <v>9.6333333333333329</v>
      </c>
      <c r="L30" s="27">
        <f t="shared" si="9"/>
        <v>0</v>
      </c>
      <c r="M30" s="26">
        <f t="shared" si="9"/>
        <v>6.4444444444444446</v>
      </c>
      <c r="N30" s="26">
        <f t="shared" si="9"/>
        <v>9.6568961599636438</v>
      </c>
      <c r="O30" s="26">
        <f t="shared" si="9"/>
        <v>14.833333333333334</v>
      </c>
      <c r="P30" s="26">
        <f t="shared" si="9"/>
        <v>11.400247831474596</v>
      </c>
      <c r="Q30" s="26">
        <f t="shared" si="9"/>
        <v>10.888888888888889</v>
      </c>
      <c r="R30" s="26">
        <f t="shared" si="9"/>
        <v>5.615384615384615</v>
      </c>
      <c r="S30" s="26">
        <f t="shared" si="9"/>
        <v>8.8402270884022709</v>
      </c>
      <c r="T30" s="26">
        <f t="shared" si="9"/>
        <v>14.05</v>
      </c>
      <c r="U30" s="26">
        <f t="shared" si="9"/>
        <v>13.338815789473685</v>
      </c>
      <c r="V30" s="26">
        <f t="shared" si="9"/>
        <v>13.356164383561644</v>
      </c>
      <c r="W30" s="26">
        <f t="shared" si="9"/>
        <v>8.75</v>
      </c>
      <c r="X30" s="26">
        <f t="shared" si="9"/>
        <v>13.605769230769232</v>
      </c>
      <c r="Y30" s="26">
        <f t="shared" si="9"/>
        <v>12.419540229885058</v>
      </c>
      <c r="Z30" s="2">
        <f>SUM(C30:Y30)</f>
        <v>247.40845277915093</v>
      </c>
      <c r="AB30" s="1" t="s">
        <v>18</v>
      </c>
      <c r="AD30" s="1">
        <f>AF28/11.5</f>
        <v>27.173913043478262</v>
      </c>
    </row>
    <row r="31" spans="1:38" ht="27.75" customHeight="1" x14ac:dyDescent="0.4">
      <c r="A31" s="25"/>
      <c r="B31" s="1" t="s">
        <v>19</v>
      </c>
      <c r="C31" s="26">
        <f t="shared" ref="C31:Y31" si="10">IF(C29&gt;0,11.5,0)</f>
        <v>11.5</v>
      </c>
      <c r="D31" s="26">
        <f t="shared" si="10"/>
        <v>11.5</v>
      </c>
      <c r="E31" s="26">
        <f t="shared" si="10"/>
        <v>11.5</v>
      </c>
      <c r="F31" s="26">
        <f t="shared" si="10"/>
        <v>11.5</v>
      </c>
      <c r="G31" s="26">
        <f t="shared" si="10"/>
        <v>11.5</v>
      </c>
      <c r="H31" s="26">
        <f t="shared" si="10"/>
        <v>11.5</v>
      </c>
      <c r="I31" s="26">
        <f t="shared" si="10"/>
        <v>11.5</v>
      </c>
      <c r="J31" s="26">
        <f t="shared" si="10"/>
        <v>11.5</v>
      </c>
      <c r="K31" s="26">
        <f t="shared" si="10"/>
        <v>11.5</v>
      </c>
      <c r="L31" s="27">
        <f t="shared" si="10"/>
        <v>0</v>
      </c>
      <c r="M31" s="26">
        <f t="shared" si="10"/>
        <v>11.5</v>
      </c>
      <c r="N31" s="26">
        <f t="shared" si="10"/>
        <v>11.5</v>
      </c>
      <c r="O31" s="26">
        <f t="shared" si="10"/>
        <v>11.5</v>
      </c>
      <c r="P31" s="26">
        <f t="shared" si="10"/>
        <v>11.5</v>
      </c>
      <c r="Q31" s="26">
        <f t="shared" si="10"/>
        <v>11.5</v>
      </c>
      <c r="R31" s="26">
        <f t="shared" si="10"/>
        <v>11.5</v>
      </c>
      <c r="S31" s="26">
        <f t="shared" si="10"/>
        <v>11.5</v>
      </c>
      <c r="T31" s="26">
        <f t="shared" si="10"/>
        <v>11.5</v>
      </c>
      <c r="U31" s="26">
        <f t="shared" si="10"/>
        <v>11.5</v>
      </c>
      <c r="V31" s="26">
        <f t="shared" si="10"/>
        <v>11.5</v>
      </c>
      <c r="W31" s="26">
        <f t="shared" si="10"/>
        <v>11.5</v>
      </c>
      <c r="X31" s="26">
        <f t="shared" si="10"/>
        <v>11.5</v>
      </c>
      <c r="Y31" s="26">
        <f t="shared" si="10"/>
        <v>11.5</v>
      </c>
      <c r="Z31" s="2">
        <f>SUM(C31:Y31)</f>
        <v>253</v>
      </c>
      <c r="AB31" s="1" t="s">
        <v>20</v>
      </c>
      <c r="AD31" s="1">
        <f>Z32*AD30</f>
        <v>-151.94421795785422</v>
      </c>
    </row>
    <row r="32" spans="1:38" ht="27.75" customHeight="1" x14ac:dyDescent="0.4">
      <c r="A32" s="28"/>
      <c r="B32" s="29" t="s">
        <v>21</v>
      </c>
      <c r="C32" s="30">
        <f t="shared" ref="C32:Y32" si="11">IF(C29&gt;0,C30-C31,0)</f>
        <v>1.1875</v>
      </c>
      <c r="D32" s="30">
        <f t="shared" si="11"/>
        <v>2.0102739726027394</v>
      </c>
      <c r="E32" s="30">
        <f t="shared" si="11"/>
        <v>1.4220779220779214</v>
      </c>
      <c r="F32" s="30">
        <f t="shared" si="11"/>
        <v>1.6500000000000004</v>
      </c>
      <c r="G32" s="30">
        <f t="shared" si="11"/>
        <v>1.4166666666666661</v>
      </c>
      <c r="H32" s="30">
        <f t="shared" si="11"/>
        <v>0.32222222222222285</v>
      </c>
      <c r="I32" s="30">
        <f t="shared" si="11"/>
        <v>-1.8333333333333321</v>
      </c>
      <c r="J32" s="30">
        <f t="shared" si="11"/>
        <v>-3.5999999999999996</v>
      </c>
      <c r="K32" s="30">
        <f t="shared" si="11"/>
        <v>-1.8666666666666671</v>
      </c>
      <c r="L32" s="31">
        <f t="shared" si="11"/>
        <v>0</v>
      </c>
      <c r="M32" s="30">
        <f t="shared" si="11"/>
        <v>-5.0555555555555554</v>
      </c>
      <c r="N32" s="30">
        <f t="shared" si="11"/>
        <v>-1.8431038400363562</v>
      </c>
      <c r="O32" s="30">
        <f t="shared" si="11"/>
        <v>3.3333333333333339</v>
      </c>
      <c r="P32" s="30">
        <f t="shared" si="11"/>
        <v>-9.9752168525403917E-2</v>
      </c>
      <c r="Q32" s="30">
        <f t="shared" si="11"/>
        <v>-0.61111111111111072</v>
      </c>
      <c r="R32" s="30">
        <f t="shared" si="11"/>
        <v>-5.884615384615385</v>
      </c>
      <c r="S32" s="30">
        <f t="shared" si="11"/>
        <v>-2.6597729115977291</v>
      </c>
      <c r="T32" s="30">
        <f t="shared" si="11"/>
        <v>2.5500000000000007</v>
      </c>
      <c r="U32" s="30">
        <f t="shared" si="11"/>
        <v>1.838815789473685</v>
      </c>
      <c r="V32" s="30">
        <f t="shared" si="11"/>
        <v>1.8561643835616444</v>
      </c>
      <c r="W32" s="30">
        <f t="shared" si="11"/>
        <v>-2.75</v>
      </c>
      <c r="X32" s="30">
        <f t="shared" si="11"/>
        <v>2.1057692307692317</v>
      </c>
      <c r="Y32" s="30">
        <f t="shared" si="11"/>
        <v>0.91954022988505812</v>
      </c>
      <c r="Z32" s="2">
        <f>SUM(C32:Y32)</f>
        <v>-5.5915472208490353</v>
      </c>
      <c r="AE32">
        <f>AC32/175</f>
        <v>0</v>
      </c>
    </row>
    <row r="33" spans="1:38" ht="27.75" customHeight="1" thickTop="1" thickBot="1" x14ac:dyDescent="0.4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38" ht="27.75" hidden="1" customHeight="1" x14ac:dyDescent="0.4">
      <c r="B34" s="1" t="s">
        <v>29</v>
      </c>
      <c r="C34" s="3">
        <v>1.04</v>
      </c>
      <c r="D34" s="4">
        <v>2.04</v>
      </c>
      <c r="E34" s="4">
        <v>3.04</v>
      </c>
      <c r="F34" s="4">
        <v>4.04</v>
      </c>
      <c r="G34" s="4">
        <v>6.04</v>
      </c>
      <c r="H34" s="4">
        <v>7.04</v>
      </c>
      <c r="I34" s="4">
        <v>8.0399999999999991</v>
      </c>
      <c r="J34" s="4">
        <v>9.0399999999999991</v>
      </c>
      <c r="K34" s="4">
        <v>10.039999999999999</v>
      </c>
      <c r="L34" s="4">
        <v>14.04</v>
      </c>
      <c r="M34" s="4">
        <v>16.04</v>
      </c>
      <c r="N34" s="4">
        <v>17.04</v>
      </c>
      <c r="O34" s="4">
        <v>18.04</v>
      </c>
      <c r="P34" s="4">
        <v>20.04</v>
      </c>
      <c r="Q34" s="4">
        <v>21.04</v>
      </c>
      <c r="R34" s="4">
        <v>22.04</v>
      </c>
      <c r="S34" s="4">
        <v>23.04</v>
      </c>
      <c r="T34" s="4">
        <v>24.04</v>
      </c>
      <c r="U34" s="4">
        <v>25.04</v>
      </c>
      <c r="V34" s="4">
        <v>27.04</v>
      </c>
      <c r="W34" s="4">
        <v>28.04</v>
      </c>
      <c r="X34" s="6">
        <v>29.04</v>
      </c>
      <c r="Y34" s="8">
        <v>30.04</v>
      </c>
      <c r="Z34" s="9" t="s">
        <v>1</v>
      </c>
      <c r="AA34" s="10" t="s">
        <v>2</v>
      </c>
      <c r="AB34" s="11" t="s">
        <v>3</v>
      </c>
      <c r="AC34" s="12" t="s">
        <v>4</v>
      </c>
      <c r="AD34" s="12" t="s">
        <v>5</v>
      </c>
      <c r="AE34" s="10" t="s">
        <v>6</v>
      </c>
      <c r="AF34" s="10" t="s">
        <v>7</v>
      </c>
      <c r="AG34" s="13" t="s">
        <v>8</v>
      </c>
      <c r="AH34" s="10" t="s">
        <v>9</v>
      </c>
      <c r="AI34" s="10" t="s">
        <v>10</v>
      </c>
      <c r="AJ34" s="14" t="s">
        <v>11</v>
      </c>
      <c r="AK34" s="10" t="s">
        <v>12</v>
      </c>
      <c r="AL34" s="104" t="s">
        <v>13</v>
      </c>
    </row>
    <row r="35" spans="1:38" ht="41.25" hidden="1" customHeight="1" x14ac:dyDescent="0.6">
      <c r="A35" s="15">
        <v>0</v>
      </c>
      <c r="B35" s="16"/>
      <c r="C35" s="38">
        <v>203</v>
      </c>
      <c r="D35" s="39">
        <v>197.25</v>
      </c>
      <c r="E35" s="40">
        <v>199</v>
      </c>
      <c r="F35" s="40">
        <v>197.25</v>
      </c>
      <c r="G35" s="40">
        <v>186</v>
      </c>
      <c r="H35" s="40">
        <f>166+68/6</f>
        <v>177.33333333333334</v>
      </c>
      <c r="I35" s="40">
        <f>149+5/6</f>
        <v>149.83333333333334</v>
      </c>
      <c r="J35" s="40">
        <v>118.5</v>
      </c>
      <c r="K35" s="40">
        <v>144.5</v>
      </c>
      <c r="L35" s="40">
        <f>154+6/6</f>
        <v>155</v>
      </c>
      <c r="M35" s="40">
        <v>58</v>
      </c>
      <c r="N35" s="40">
        <f>138.5+19/6</f>
        <v>141.66666666666666</v>
      </c>
      <c r="O35" s="40">
        <v>222.5</v>
      </c>
      <c r="P35" s="40">
        <v>184</v>
      </c>
      <c r="Q35" s="40">
        <f>160+20/6</f>
        <v>163.33333333333334</v>
      </c>
      <c r="R35" s="40">
        <v>73</v>
      </c>
      <c r="S35" s="40">
        <v>109</v>
      </c>
      <c r="T35" s="40">
        <v>210.75</v>
      </c>
      <c r="U35" s="40">
        <v>202.75</v>
      </c>
      <c r="V35" s="40">
        <v>195</v>
      </c>
      <c r="W35" s="40">
        <v>87.5</v>
      </c>
      <c r="X35" s="40">
        <v>212.25</v>
      </c>
      <c r="Y35" s="40">
        <f>176.25+23/6</f>
        <v>180.08333333333334</v>
      </c>
      <c r="Z35" s="20">
        <f>SUM(C35:Y35)</f>
        <v>3767.5</v>
      </c>
      <c r="AA35" s="21">
        <f>COUNTIF(C36:Y36,"&gt;0")</f>
        <v>23</v>
      </c>
      <c r="AB35" s="21">
        <f>AA35*166</f>
        <v>3818</v>
      </c>
      <c r="AC35" s="21">
        <f>Z35-AB35</f>
        <v>-50.5</v>
      </c>
      <c r="AD35" s="21">
        <v>23</v>
      </c>
      <c r="AE35" s="21">
        <f>AC35/175</f>
        <v>-0.28857142857142859</v>
      </c>
      <c r="AF35" s="21">
        <f>AH35/AD35</f>
        <v>282.60869565217394</v>
      </c>
      <c r="AG35" s="22">
        <f>AF35*AE35</f>
        <v>-81.552795031055908</v>
      </c>
      <c r="AH35" s="21">
        <v>6500</v>
      </c>
      <c r="AI35" s="23">
        <f>AH35+AG35</f>
        <v>6418.4472049689439</v>
      </c>
      <c r="AJ35" s="41"/>
      <c r="AK35" s="24"/>
      <c r="AL35" s="24"/>
    </row>
    <row r="36" spans="1:38" ht="27.75" hidden="1" customHeight="1" x14ac:dyDescent="0.4">
      <c r="A36" s="25"/>
      <c r="B36" s="1" t="s">
        <v>16</v>
      </c>
      <c r="C36" s="42">
        <v>16</v>
      </c>
      <c r="D36" s="42">
        <v>14.6</v>
      </c>
      <c r="E36" s="42">
        <v>15.4</v>
      </c>
      <c r="F36" s="42">
        <v>15</v>
      </c>
      <c r="G36" s="42">
        <v>14.4</v>
      </c>
      <c r="H36" s="42">
        <v>15</v>
      </c>
      <c r="I36" s="42">
        <v>15.5</v>
      </c>
      <c r="J36" s="42">
        <v>15</v>
      </c>
      <c r="K36" s="42">
        <v>15</v>
      </c>
      <c r="L36" s="42">
        <v>14</v>
      </c>
      <c r="M36" s="42">
        <v>9</v>
      </c>
      <c r="N36" s="42">
        <v>14.67</v>
      </c>
      <c r="O36" s="42">
        <v>15</v>
      </c>
      <c r="P36" s="42">
        <v>16.14</v>
      </c>
      <c r="Q36" s="42">
        <v>15</v>
      </c>
      <c r="R36" s="42">
        <v>13</v>
      </c>
      <c r="S36" s="43">
        <v>12.33</v>
      </c>
      <c r="T36" s="43">
        <v>15</v>
      </c>
      <c r="U36" s="42">
        <v>15.2</v>
      </c>
      <c r="V36" s="43">
        <v>14.6</v>
      </c>
      <c r="W36" s="43">
        <v>10</v>
      </c>
      <c r="X36" s="42">
        <v>15.6</v>
      </c>
      <c r="Y36" s="43">
        <v>67.33</v>
      </c>
    </row>
    <row r="37" spans="1:38" ht="27.75" hidden="1" customHeight="1" x14ac:dyDescent="0.4">
      <c r="A37" s="25"/>
      <c r="B37" s="1" t="s">
        <v>17</v>
      </c>
      <c r="C37" s="42">
        <f t="shared" ref="C37:Y37" si="12">IF(C36&gt;0,C35/C36,0)</f>
        <v>12.6875</v>
      </c>
      <c r="D37" s="42">
        <f t="shared" si="12"/>
        <v>13.510273972602739</v>
      </c>
      <c r="E37" s="42">
        <f t="shared" si="12"/>
        <v>12.922077922077921</v>
      </c>
      <c r="F37" s="42">
        <f t="shared" si="12"/>
        <v>13.15</v>
      </c>
      <c r="G37" s="42">
        <f t="shared" si="12"/>
        <v>12.916666666666666</v>
      </c>
      <c r="H37" s="42">
        <f t="shared" si="12"/>
        <v>11.822222222222223</v>
      </c>
      <c r="I37" s="42">
        <f t="shared" si="12"/>
        <v>9.6666666666666679</v>
      </c>
      <c r="J37" s="42">
        <f t="shared" si="12"/>
        <v>7.9</v>
      </c>
      <c r="K37" s="42">
        <f t="shared" si="12"/>
        <v>9.6333333333333329</v>
      </c>
      <c r="L37" s="42">
        <f t="shared" si="12"/>
        <v>11.071428571428571</v>
      </c>
      <c r="M37" s="42">
        <f t="shared" si="12"/>
        <v>6.4444444444444446</v>
      </c>
      <c r="N37" s="42">
        <f t="shared" si="12"/>
        <v>9.6568961599636438</v>
      </c>
      <c r="O37" s="42">
        <f t="shared" si="12"/>
        <v>14.833333333333334</v>
      </c>
      <c r="P37" s="42">
        <f t="shared" si="12"/>
        <v>11.400247831474596</v>
      </c>
      <c r="Q37" s="42">
        <f t="shared" si="12"/>
        <v>10.888888888888889</v>
      </c>
      <c r="R37" s="42">
        <f t="shared" si="12"/>
        <v>5.615384615384615</v>
      </c>
      <c r="S37" s="42">
        <f t="shared" si="12"/>
        <v>8.8402270884022709</v>
      </c>
      <c r="T37" s="42">
        <f t="shared" si="12"/>
        <v>14.05</v>
      </c>
      <c r="U37" s="42">
        <f t="shared" si="12"/>
        <v>13.338815789473685</v>
      </c>
      <c r="V37" s="42">
        <f t="shared" si="12"/>
        <v>13.356164383561644</v>
      </c>
      <c r="W37" s="42">
        <f t="shared" si="12"/>
        <v>8.75</v>
      </c>
      <c r="X37" s="42">
        <f t="shared" si="12"/>
        <v>13.605769230769232</v>
      </c>
      <c r="Y37" s="42">
        <f t="shared" si="12"/>
        <v>2.674637358285064</v>
      </c>
      <c r="Z37" s="2">
        <f>SUM(C37:Y37)</f>
        <v>248.73497847897954</v>
      </c>
      <c r="AB37" s="1" t="s">
        <v>18</v>
      </c>
      <c r="AD37" s="1">
        <f>AF35/11.5</f>
        <v>24.57466918714556</v>
      </c>
      <c r="AF37" s="1"/>
      <c r="AG37" s="1"/>
    </row>
    <row r="38" spans="1:38" ht="27.75" hidden="1" customHeight="1" x14ac:dyDescent="0.4">
      <c r="A38" s="25"/>
      <c r="B38" s="1" t="s">
        <v>19</v>
      </c>
      <c r="C38" s="42">
        <f t="shared" ref="C38:Y38" si="13">IF(C36&gt;0,11.5,0)</f>
        <v>11.5</v>
      </c>
      <c r="D38" s="42">
        <f t="shared" si="13"/>
        <v>11.5</v>
      </c>
      <c r="E38" s="42">
        <f t="shared" si="13"/>
        <v>11.5</v>
      </c>
      <c r="F38" s="42">
        <f t="shared" si="13"/>
        <v>11.5</v>
      </c>
      <c r="G38" s="42">
        <f t="shared" si="13"/>
        <v>11.5</v>
      </c>
      <c r="H38" s="42">
        <f t="shared" si="13"/>
        <v>11.5</v>
      </c>
      <c r="I38" s="42">
        <f t="shared" si="13"/>
        <v>11.5</v>
      </c>
      <c r="J38" s="42">
        <f t="shared" si="13"/>
        <v>11.5</v>
      </c>
      <c r="K38" s="42">
        <f t="shared" si="13"/>
        <v>11.5</v>
      </c>
      <c r="L38" s="42">
        <f t="shared" si="13"/>
        <v>11.5</v>
      </c>
      <c r="M38" s="42">
        <f t="shared" si="13"/>
        <v>11.5</v>
      </c>
      <c r="N38" s="42">
        <f t="shared" si="13"/>
        <v>11.5</v>
      </c>
      <c r="O38" s="42">
        <f t="shared" si="13"/>
        <v>11.5</v>
      </c>
      <c r="P38" s="42">
        <f t="shared" si="13"/>
        <v>11.5</v>
      </c>
      <c r="Q38" s="42">
        <f t="shared" si="13"/>
        <v>11.5</v>
      </c>
      <c r="R38" s="42">
        <f t="shared" si="13"/>
        <v>11.5</v>
      </c>
      <c r="S38" s="42">
        <f t="shared" si="13"/>
        <v>11.5</v>
      </c>
      <c r="T38" s="42">
        <f t="shared" si="13"/>
        <v>11.5</v>
      </c>
      <c r="U38" s="42">
        <f t="shared" si="13"/>
        <v>11.5</v>
      </c>
      <c r="V38" s="42">
        <f t="shared" si="13"/>
        <v>11.5</v>
      </c>
      <c r="W38" s="42">
        <f t="shared" si="13"/>
        <v>11.5</v>
      </c>
      <c r="X38" s="42">
        <f t="shared" si="13"/>
        <v>11.5</v>
      </c>
      <c r="Y38" s="42">
        <f t="shared" si="13"/>
        <v>11.5</v>
      </c>
      <c r="Z38" s="2">
        <f>SUM(C38:Y38)</f>
        <v>264.5</v>
      </c>
      <c r="AB38" s="1" t="s">
        <v>20</v>
      </c>
      <c r="AD38" s="1">
        <f>Z39*AD37</f>
        <v>-387.42018860730809</v>
      </c>
      <c r="AG38" s="1"/>
      <c r="AI38" s="1"/>
    </row>
    <row r="39" spans="1:38" ht="27.75" hidden="1" customHeight="1" x14ac:dyDescent="0.4">
      <c r="A39" s="28"/>
      <c r="B39" s="29" t="s">
        <v>21</v>
      </c>
      <c r="C39" s="44">
        <f t="shared" ref="C39:Y39" si="14">IF(C36&gt;0,C37-C38,0)</f>
        <v>1.1875</v>
      </c>
      <c r="D39" s="44">
        <f t="shared" si="14"/>
        <v>2.0102739726027394</v>
      </c>
      <c r="E39" s="44">
        <f t="shared" si="14"/>
        <v>1.4220779220779214</v>
      </c>
      <c r="F39" s="44">
        <f t="shared" si="14"/>
        <v>1.6500000000000004</v>
      </c>
      <c r="G39" s="44">
        <f t="shared" si="14"/>
        <v>1.4166666666666661</v>
      </c>
      <c r="H39" s="44">
        <f t="shared" si="14"/>
        <v>0.32222222222222285</v>
      </c>
      <c r="I39" s="44">
        <f t="shared" si="14"/>
        <v>-1.8333333333333321</v>
      </c>
      <c r="J39" s="44">
        <f t="shared" si="14"/>
        <v>-3.5999999999999996</v>
      </c>
      <c r="K39" s="44">
        <f t="shared" si="14"/>
        <v>-1.8666666666666671</v>
      </c>
      <c r="L39" s="44">
        <f t="shared" si="14"/>
        <v>-0.42857142857142883</v>
      </c>
      <c r="M39" s="44">
        <f t="shared" si="14"/>
        <v>-5.0555555555555554</v>
      </c>
      <c r="N39" s="44">
        <f t="shared" si="14"/>
        <v>-1.8431038400363562</v>
      </c>
      <c r="O39" s="44">
        <f t="shared" si="14"/>
        <v>3.3333333333333339</v>
      </c>
      <c r="P39" s="44">
        <f t="shared" si="14"/>
        <v>-9.9752168525403917E-2</v>
      </c>
      <c r="Q39" s="44">
        <f t="shared" si="14"/>
        <v>-0.61111111111111072</v>
      </c>
      <c r="R39" s="44">
        <f t="shared" si="14"/>
        <v>-5.884615384615385</v>
      </c>
      <c r="S39" s="44">
        <f t="shared" si="14"/>
        <v>-2.6597729115977291</v>
      </c>
      <c r="T39" s="44">
        <f t="shared" si="14"/>
        <v>2.5500000000000007</v>
      </c>
      <c r="U39" s="44">
        <f t="shared" si="14"/>
        <v>1.838815789473685</v>
      </c>
      <c r="V39" s="44">
        <f t="shared" si="14"/>
        <v>1.8561643835616444</v>
      </c>
      <c r="W39" s="44">
        <f t="shared" si="14"/>
        <v>-2.75</v>
      </c>
      <c r="X39" s="44">
        <f t="shared" si="14"/>
        <v>2.1057692307692317</v>
      </c>
      <c r="Y39" s="44">
        <f t="shared" si="14"/>
        <v>-8.8253626417149356</v>
      </c>
      <c r="Z39" s="2">
        <f>SUM(C39:Y39)</f>
        <v>-15.765021521020458</v>
      </c>
      <c r="AE39">
        <f>AC39/175</f>
        <v>0</v>
      </c>
    </row>
    <row r="40" spans="1:38" ht="27.75" hidden="1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38" ht="27.75" hidden="1" customHeight="1" x14ac:dyDescent="0.4">
      <c r="C41" s="3">
        <v>1.04</v>
      </c>
      <c r="D41" s="4">
        <v>2.04</v>
      </c>
      <c r="E41" s="4">
        <v>3.04</v>
      </c>
      <c r="F41" s="4">
        <v>4.04</v>
      </c>
      <c r="G41" s="4">
        <v>6.04</v>
      </c>
      <c r="H41" s="4">
        <v>7.04</v>
      </c>
      <c r="I41" s="4">
        <v>8.0399999999999991</v>
      </c>
      <c r="J41" s="4">
        <v>9.0399999999999991</v>
      </c>
      <c r="K41" s="4">
        <v>10.039999999999999</v>
      </c>
      <c r="L41" s="4">
        <v>14.04</v>
      </c>
      <c r="M41" s="4">
        <v>16.04</v>
      </c>
      <c r="N41" s="4">
        <v>17.04</v>
      </c>
      <c r="O41" s="4">
        <v>18.04</v>
      </c>
      <c r="P41" s="4">
        <v>20.04</v>
      </c>
      <c r="Q41" s="4">
        <v>21.04</v>
      </c>
      <c r="R41" s="4">
        <v>22.04</v>
      </c>
      <c r="S41" s="4">
        <v>23.04</v>
      </c>
      <c r="T41" s="4">
        <v>24.04</v>
      </c>
      <c r="U41" s="4">
        <v>25.04</v>
      </c>
      <c r="V41" s="4">
        <v>27.04</v>
      </c>
      <c r="W41" s="4">
        <v>28.04</v>
      </c>
      <c r="X41" s="6">
        <v>29.04</v>
      </c>
      <c r="Y41" s="8">
        <v>30.04</v>
      </c>
      <c r="Z41" s="9" t="s">
        <v>1</v>
      </c>
      <c r="AA41" s="10" t="s">
        <v>2</v>
      </c>
      <c r="AB41" s="11" t="s">
        <v>3</v>
      </c>
      <c r="AC41" s="12" t="s">
        <v>4</v>
      </c>
      <c r="AD41" s="12" t="s">
        <v>5</v>
      </c>
      <c r="AE41" s="10" t="s">
        <v>6</v>
      </c>
      <c r="AF41" s="10" t="s">
        <v>7</v>
      </c>
      <c r="AG41" s="13" t="s">
        <v>8</v>
      </c>
      <c r="AH41" s="10" t="s">
        <v>9</v>
      </c>
      <c r="AI41" s="10" t="s">
        <v>10</v>
      </c>
      <c r="AJ41" s="14" t="s">
        <v>11</v>
      </c>
      <c r="AK41" s="10" t="s">
        <v>12</v>
      </c>
      <c r="AL41" s="104" t="s">
        <v>13</v>
      </c>
    </row>
    <row r="42" spans="1:38" ht="49.5" hidden="1" customHeight="1" x14ac:dyDescent="0.6">
      <c r="A42" s="15">
        <v>0</v>
      </c>
      <c r="B42" s="16"/>
      <c r="C42" s="38">
        <v>203</v>
      </c>
      <c r="D42" s="39">
        <v>197.25</v>
      </c>
      <c r="E42" s="40">
        <v>199</v>
      </c>
      <c r="F42" s="40">
        <v>197.25</v>
      </c>
      <c r="G42" s="40">
        <v>186</v>
      </c>
      <c r="H42" s="40">
        <f>166+68/6</f>
        <v>177.33333333333334</v>
      </c>
      <c r="I42" s="40">
        <f>149+5/6</f>
        <v>149.83333333333334</v>
      </c>
      <c r="J42" s="40">
        <v>118.5</v>
      </c>
      <c r="K42" s="40">
        <v>144.5</v>
      </c>
      <c r="L42" s="40">
        <f>154+6/6</f>
        <v>155</v>
      </c>
      <c r="M42" s="40">
        <v>58</v>
      </c>
      <c r="N42" s="40">
        <f>138.5+19/6</f>
        <v>141.66666666666666</v>
      </c>
      <c r="O42" s="40">
        <v>222.5</v>
      </c>
      <c r="P42" s="40">
        <v>184</v>
      </c>
      <c r="Q42" s="40">
        <f>160+20/6</f>
        <v>163.33333333333334</v>
      </c>
      <c r="R42" s="40">
        <v>73</v>
      </c>
      <c r="S42" s="40">
        <v>109</v>
      </c>
      <c r="T42" s="40">
        <v>210.75</v>
      </c>
      <c r="U42" s="40">
        <v>202.75</v>
      </c>
      <c r="V42" s="40">
        <v>195</v>
      </c>
      <c r="W42" s="40">
        <v>87.5</v>
      </c>
      <c r="X42" s="40">
        <v>212.25</v>
      </c>
      <c r="Y42" s="40">
        <f>176.25+23/6</f>
        <v>180.08333333333334</v>
      </c>
      <c r="Z42" s="20">
        <f>SUM(C42:Y42)</f>
        <v>3767.5</v>
      </c>
      <c r="AA42" s="21">
        <f>COUNTIF(C43:Y43,"&gt;0")</f>
        <v>23</v>
      </c>
      <c r="AB42" s="21">
        <f>AA42*166</f>
        <v>3818</v>
      </c>
      <c r="AC42" s="21">
        <f>Z42-AB42</f>
        <v>-50.5</v>
      </c>
      <c r="AD42" s="21">
        <v>23</v>
      </c>
      <c r="AE42" s="21">
        <f>AC42/175</f>
        <v>-0.28857142857142859</v>
      </c>
      <c r="AF42" s="21">
        <f>AH42/AD42</f>
        <v>347.82608695652175</v>
      </c>
      <c r="AG42" s="22">
        <f>AF42*AE42</f>
        <v>-100.37267080745343</v>
      </c>
      <c r="AH42" s="21">
        <v>8000</v>
      </c>
      <c r="AI42" s="23">
        <f>AH42+AG42</f>
        <v>7899.6273291925463</v>
      </c>
      <c r="AJ42" s="16"/>
      <c r="AK42" s="24"/>
      <c r="AL42" s="24"/>
    </row>
    <row r="43" spans="1:38" ht="27.75" hidden="1" customHeight="1" x14ac:dyDescent="0.4">
      <c r="A43" s="25"/>
      <c r="B43" s="1" t="s">
        <v>16</v>
      </c>
      <c r="C43" s="42">
        <v>16</v>
      </c>
      <c r="D43" s="42">
        <v>14.6</v>
      </c>
      <c r="E43" s="42">
        <v>15.4</v>
      </c>
      <c r="F43" s="42">
        <v>15</v>
      </c>
      <c r="G43" s="42">
        <v>14.4</v>
      </c>
      <c r="H43" s="42">
        <v>15</v>
      </c>
      <c r="I43" s="42">
        <v>15.5</v>
      </c>
      <c r="J43" s="42">
        <v>15</v>
      </c>
      <c r="K43" s="42">
        <v>15</v>
      </c>
      <c r="L43" s="42">
        <v>14</v>
      </c>
      <c r="M43" s="42">
        <v>9</v>
      </c>
      <c r="N43" s="42">
        <v>14.67</v>
      </c>
      <c r="O43" s="42">
        <v>15</v>
      </c>
      <c r="P43" s="42">
        <v>16.14</v>
      </c>
      <c r="Q43" s="42">
        <v>15</v>
      </c>
      <c r="R43" s="42">
        <v>13</v>
      </c>
      <c r="S43" s="43">
        <v>12.33</v>
      </c>
      <c r="T43" s="43">
        <v>15</v>
      </c>
      <c r="U43" s="42">
        <v>15.2</v>
      </c>
      <c r="V43" s="43">
        <v>14.6</v>
      </c>
      <c r="W43" s="43">
        <v>10</v>
      </c>
      <c r="X43" s="42">
        <v>15.6</v>
      </c>
      <c r="Y43" s="43">
        <v>67.33</v>
      </c>
    </row>
    <row r="44" spans="1:38" ht="27.75" hidden="1" customHeight="1" x14ac:dyDescent="0.4">
      <c r="A44" s="25"/>
      <c r="B44" s="1" t="s">
        <v>17</v>
      </c>
      <c r="C44" s="42">
        <f t="shared" ref="C44:Y44" si="15">IF(C43&gt;0,C42/C43,0)</f>
        <v>12.6875</v>
      </c>
      <c r="D44" s="42">
        <f t="shared" si="15"/>
        <v>13.510273972602739</v>
      </c>
      <c r="E44" s="42">
        <f t="shared" si="15"/>
        <v>12.922077922077921</v>
      </c>
      <c r="F44" s="42">
        <f t="shared" si="15"/>
        <v>13.15</v>
      </c>
      <c r="G44" s="42">
        <f t="shared" si="15"/>
        <v>12.916666666666666</v>
      </c>
      <c r="H44" s="42">
        <f t="shared" si="15"/>
        <v>11.822222222222223</v>
      </c>
      <c r="I44" s="42">
        <f t="shared" si="15"/>
        <v>9.6666666666666679</v>
      </c>
      <c r="J44" s="42">
        <f t="shared" si="15"/>
        <v>7.9</v>
      </c>
      <c r="K44" s="42">
        <f t="shared" si="15"/>
        <v>9.6333333333333329</v>
      </c>
      <c r="L44" s="42">
        <f t="shared" si="15"/>
        <v>11.071428571428571</v>
      </c>
      <c r="M44" s="42">
        <f t="shared" si="15"/>
        <v>6.4444444444444446</v>
      </c>
      <c r="N44" s="42">
        <f t="shared" si="15"/>
        <v>9.6568961599636438</v>
      </c>
      <c r="O44" s="42">
        <f t="shared" si="15"/>
        <v>14.833333333333334</v>
      </c>
      <c r="P44" s="42">
        <f t="shared" si="15"/>
        <v>11.400247831474596</v>
      </c>
      <c r="Q44" s="42">
        <f t="shared" si="15"/>
        <v>10.888888888888889</v>
      </c>
      <c r="R44" s="42">
        <f t="shared" si="15"/>
        <v>5.615384615384615</v>
      </c>
      <c r="S44" s="42">
        <f t="shared" si="15"/>
        <v>8.8402270884022709</v>
      </c>
      <c r="T44" s="42">
        <f t="shared" si="15"/>
        <v>14.05</v>
      </c>
      <c r="U44" s="42">
        <f t="shared" si="15"/>
        <v>13.338815789473685</v>
      </c>
      <c r="V44" s="42">
        <f t="shared" si="15"/>
        <v>13.356164383561644</v>
      </c>
      <c r="W44" s="42">
        <f t="shared" si="15"/>
        <v>8.75</v>
      </c>
      <c r="X44" s="42">
        <f t="shared" si="15"/>
        <v>13.605769230769232</v>
      </c>
      <c r="Y44" s="42">
        <f t="shared" si="15"/>
        <v>2.674637358285064</v>
      </c>
      <c r="Z44" s="2">
        <f>SUM(C44:Y44)</f>
        <v>248.73497847897954</v>
      </c>
      <c r="AB44" s="1" t="s">
        <v>18</v>
      </c>
      <c r="AD44" s="1">
        <f>AF42/11.5</f>
        <v>30.245746691871457</v>
      </c>
    </row>
    <row r="45" spans="1:38" ht="27.75" hidden="1" customHeight="1" x14ac:dyDescent="0.4">
      <c r="A45" s="25"/>
      <c r="B45" s="1" t="s">
        <v>19</v>
      </c>
      <c r="C45" s="42">
        <f t="shared" ref="C45:Y45" si="16">IF(C43&gt;0,11.5,0)</f>
        <v>11.5</v>
      </c>
      <c r="D45" s="42">
        <f t="shared" si="16"/>
        <v>11.5</v>
      </c>
      <c r="E45" s="42">
        <f t="shared" si="16"/>
        <v>11.5</v>
      </c>
      <c r="F45" s="42">
        <f t="shared" si="16"/>
        <v>11.5</v>
      </c>
      <c r="G45" s="42">
        <f t="shared" si="16"/>
        <v>11.5</v>
      </c>
      <c r="H45" s="42">
        <f t="shared" si="16"/>
        <v>11.5</v>
      </c>
      <c r="I45" s="42">
        <f t="shared" si="16"/>
        <v>11.5</v>
      </c>
      <c r="J45" s="42">
        <f t="shared" si="16"/>
        <v>11.5</v>
      </c>
      <c r="K45" s="42">
        <f t="shared" si="16"/>
        <v>11.5</v>
      </c>
      <c r="L45" s="42">
        <f t="shared" si="16"/>
        <v>11.5</v>
      </c>
      <c r="M45" s="42">
        <f t="shared" si="16"/>
        <v>11.5</v>
      </c>
      <c r="N45" s="42">
        <f t="shared" si="16"/>
        <v>11.5</v>
      </c>
      <c r="O45" s="42">
        <f t="shared" si="16"/>
        <v>11.5</v>
      </c>
      <c r="P45" s="42">
        <f t="shared" si="16"/>
        <v>11.5</v>
      </c>
      <c r="Q45" s="42">
        <f t="shared" si="16"/>
        <v>11.5</v>
      </c>
      <c r="R45" s="42">
        <f t="shared" si="16"/>
        <v>11.5</v>
      </c>
      <c r="S45" s="42">
        <f t="shared" si="16"/>
        <v>11.5</v>
      </c>
      <c r="T45" s="42">
        <f t="shared" si="16"/>
        <v>11.5</v>
      </c>
      <c r="U45" s="42">
        <f t="shared" si="16"/>
        <v>11.5</v>
      </c>
      <c r="V45" s="42">
        <f t="shared" si="16"/>
        <v>11.5</v>
      </c>
      <c r="W45" s="42">
        <f t="shared" si="16"/>
        <v>11.5</v>
      </c>
      <c r="X45" s="42">
        <f t="shared" si="16"/>
        <v>11.5</v>
      </c>
      <c r="Y45" s="42">
        <f t="shared" si="16"/>
        <v>11.5</v>
      </c>
      <c r="Z45" s="2">
        <f>SUM(C45:Y45)</f>
        <v>264.5</v>
      </c>
      <c r="AB45" s="1" t="s">
        <v>20</v>
      </c>
      <c r="AD45" s="1">
        <f>Z46*AD44</f>
        <v>-476.82484751668682</v>
      </c>
    </row>
    <row r="46" spans="1:38" ht="27.75" hidden="1" customHeight="1" x14ac:dyDescent="0.4">
      <c r="A46" s="28"/>
      <c r="B46" s="29" t="s">
        <v>21</v>
      </c>
      <c r="C46" s="45">
        <f t="shared" ref="C46:Y46" si="17">IF(C43&gt;0,C44-C45,0)</f>
        <v>1.1875</v>
      </c>
      <c r="D46" s="45">
        <f t="shared" si="17"/>
        <v>2.0102739726027394</v>
      </c>
      <c r="E46" s="45">
        <f t="shared" si="17"/>
        <v>1.4220779220779214</v>
      </c>
      <c r="F46" s="45">
        <f t="shared" si="17"/>
        <v>1.6500000000000004</v>
      </c>
      <c r="G46" s="45">
        <f t="shared" si="17"/>
        <v>1.4166666666666661</v>
      </c>
      <c r="H46" s="45">
        <f t="shared" si="17"/>
        <v>0.32222222222222285</v>
      </c>
      <c r="I46" s="45">
        <f t="shared" si="17"/>
        <v>-1.8333333333333321</v>
      </c>
      <c r="J46" s="45">
        <f t="shared" si="17"/>
        <v>-3.5999999999999996</v>
      </c>
      <c r="K46" s="45">
        <f t="shared" si="17"/>
        <v>-1.8666666666666671</v>
      </c>
      <c r="L46" s="45">
        <f t="shared" si="17"/>
        <v>-0.42857142857142883</v>
      </c>
      <c r="M46" s="45">
        <f t="shared" si="17"/>
        <v>-5.0555555555555554</v>
      </c>
      <c r="N46" s="45">
        <f t="shared" si="17"/>
        <v>-1.8431038400363562</v>
      </c>
      <c r="O46" s="45">
        <f t="shared" si="17"/>
        <v>3.3333333333333339</v>
      </c>
      <c r="P46" s="45">
        <f t="shared" si="17"/>
        <v>-9.9752168525403917E-2</v>
      </c>
      <c r="Q46" s="45">
        <f t="shared" si="17"/>
        <v>-0.61111111111111072</v>
      </c>
      <c r="R46" s="45">
        <f t="shared" si="17"/>
        <v>-5.884615384615385</v>
      </c>
      <c r="S46" s="45">
        <f t="shared" si="17"/>
        <v>-2.6597729115977291</v>
      </c>
      <c r="T46" s="45">
        <f t="shared" si="17"/>
        <v>2.5500000000000007</v>
      </c>
      <c r="U46" s="45">
        <f t="shared" si="17"/>
        <v>1.838815789473685</v>
      </c>
      <c r="V46" s="45">
        <f t="shared" si="17"/>
        <v>1.8561643835616444</v>
      </c>
      <c r="W46" s="45">
        <f t="shared" si="17"/>
        <v>-2.75</v>
      </c>
      <c r="X46" s="45">
        <f t="shared" si="17"/>
        <v>2.1057692307692317</v>
      </c>
      <c r="Y46" s="45">
        <f t="shared" si="17"/>
        <v>-8.8253626417149356</v>
      </c>
      <c r="Z46" s="2">
        <f>SUM(C46:Y46)</f>
        <v>-15.765021521020458</v>
      </c>
      <c r="AE46">
        <f>AC46/175</f>
        <v>0</v>
      </c>
    </row>
    <row r="47" spans="1:38" ht="27.75" customHeight="1" thickTop="1" thickBot="1" x14ac:dyDescent="0.45">
      <c r="B47" s="1" t="s">
        <v>30</v>
      </c>
      <c r="C47" s="3">
        <v>1.04</v>
      </c>
      <c r="D47" s="5">
        <v>2.04</v>
      </c>
      <c r="E47" s="4">
        <v>3.04</v>
      </c>
      <c r="F47" s="4">
        <v>4.04</v>
      </c>
      <c r="G47" s="4">
        <v>6.04</v>
      </c>
      <c r="H47" s="4">
        <v>7.04</v>
      </c>
      <c r="I47" s="4">
        <v>8.0399999999999991</v>
      </c>
      <c r="J47" s="4">
        <v>9.0399999999999991</v>
      </c>
      <c r="K47" s="4">
        <v>10.039999999999999</v>
      </c>
      <c r="L47" s="4">
        <v>14.04</v>
      </c>
      <c r="M47" s="4">
        <v>16.04</v>
      </c>
      <c r="N47" s="4">
        <v>17.04</v>
      </c>
      <c r="O47" s="4">
        <v>18.04</v>
      </c>
      <c r="P47" s="4">
        <v>20.04</v>
      </c>
      <c r="Q47" s="4">
        <v>21.04</v>
      </c>
      <c r="R47" s="4">
        <v>22.04</v>
      </c>
      <c r="S47" s="4">
        <v>23.04</v>
      </c>
      <c r="T47" s="4">
        <v>24.04</v>
      </c>
      <c r="U47" s="4">
        <v>25.04</v>
      </c>
      <c r="V47" s="4">
        <v>27.04</v>
      </c>
      <c r="W47" s="4">
        <v>28.04</v>
      </c>
      <c r="X47" s="6">
        <v>29.04</v>
      </c>
      <c r="Y47" s="111">
        <v>30.04</v>
      </c>
      <c r="Z47" s="9" t="s">
        <v>1</v>
      </c>
      <c r="AA47" s="10" t="s">
        <v>2</v>
      </c>
      <c r="AB47" s="11" t="s">
        <v>3</v>
      </c>
      <c r="AC47" s="12" t="s">
        <v>4</v>
      </c>
      <c r="AD47" s="12" t="s">
        <v>5</v>
      </c>
      <c r="AE47" s="10" t="s">
        <v>6</v>
      </c>
      <c r="AF47" s="10" t="s">
        <v>7</v>
      </c>
      <c r="AG47" s="13" t="s">
        <v>8</v>
      </c>
      <c r="AH47" s="10" t="s">
        <v>9</v>
      </c>
      <c r="AI47" s="10" t="s">
        <v>10</v>
      </c>
      <c r="AJ47" s="14" t="s">
        <v>11</v>
      </c>
      <c r="AK47" s="10" t="s">
        <v>12</v>
      </c>
      <c r="AL47" s="104" t="s">
        <v>13</v>
      </c>
    </row>
    <row r="48" spans="1:38" ht="44.25" customHeight="1" thickTop="1" thickBot="1" x14ac:dyDescent="0.65">
      <c r="A48" s="15">
        <v>5</v>
      </c>
      <c r="B48" s="16" t="s">
        <v>31</v>
      </c>
      <c r="C48" s="17">
        <v>203</v>
      </c>
      <c r="D48" s="19">
        <v>0</v>
      </c>
      <c r="E48" s="18">
        <v>199</v>
      </c>
      <c r="F48" s="17">
        <v>197.25</v>
      </c>
      <c r="G48" s="17">
        <v>186</v>
      </c>
      <c r="H48" s="17">
        <f>166+68/6</f>
        <v>177.33333333333334</v>
      </c>
      <c r="I48" s="17">
        <f>149+5/6</f>
        <v>149.83333333333334</v>
      </c>
      <c r="J48" s="17">
        <v>118.5</v>
      </c>
      <c r="K48" s="17">
        <v>144.5</v>
      </c>
      <c r="L48" s="17">
        <f>154+6/6</f>
        <v>155</v>
      </c>
      <c r="M48" s="17">
        <v>58</v>
      </c>
      <c r="N48" s="17">
        <f>138.5+19/6</f>
        <v>141.66666666666666</v>
      </c>
      <c r="O48" s="17">
        <v>222.5</v>
      </c>
      <c r="P48" s="17">
        <v>184</v>
      </c>
      <c r="Q48" s="17">
        <f>160+20/6</f>
        <v>163.33333333333334</v>
      </c>
      <c r="R48" s="17">
        <v>73</v>
      </c>
      <c r="S48" s="17">
        <v>109</v>
      </c>
      <c r="T48" s="17">
        <v>210.75</v>
      </c>
      <c r="U48" s="17">
        <v>202.75</v>
      </c>
      <c r="V48" s="17">
        <v>195</v>
      </c>
      <c r="W48" s="17">
        <v>87.5</v>
      </c>
      <c r="X48" s="17">
        <v>212.25</v>
      </c>
      <c r="Y48" s="106">
        <f>176.25+23/6</f>
        <v>180.08333333333334</v>
      </c>
      <c r="Z48" s="20">
        <f>SUM(C48:Y48)</f>
        <v>3570.2500000000005</v>
      </c>
      <c r="AA48" s="21">
        <f>COUNTIF(C49:Y49,"&gt;0")</f>
        <v>22</v>
      </c>
      <c r="AB48" s="21">
        <f>AA48*AB4</f>
        <v>3740</v>
      </c>
      <c r="AC48" s="21">
        <f>Z48-AB48</f>
        <v>-169.74999999999955</v>
      </c>
      <c r="AD48" s="21">
        <f>AD4</f>
        <v>24</v>
      </c>
      <c r="AE48" s="21">
        <f>AC48/175</f>
        <v>-0.96999999999999742</v>
      </c>
      <c r="AF48" s="21">
        <f>AH48/AD48</f>
        <v>312.5</v>
      </c>
      <c r="AG48" s="22">
        <f>AF48*AE48</f>
        <v>-303.1249999999992</v>
      </c>
      <c r="AH48" s="21">
        <v>7500</v>
      </c>
      <c r="AI48" s="23">
        <f>AH48+AG48</f>
        <v>7196.8750000000009</v>
      </c>
      <c r="AJ48" s="16" t="s">
        <v>31</v>
      </c>
      <c r="AK48" s="24"/>
      <c r="AL48" s="107" t="s">
        <v>59</v>
      </c>
    </row>
    <row r="49" spans="1:38" ht="27.75" customHeight="1" x14ac:dyDescent="0.4">
      <c r="A49" s="25"/>
      <c r="B49" s="1" t="s">
        <v>16</v>
      </c>
      <c r="C49" s="26">
        <v>16</v>
      </c>
      <c r="D49" s="27">
        <v>0</v>
      </c>
      <c r="E49" s="26">
        <v>15.4</v>
      </c>
      <c r="F49" s="26">
        <v>15</v>
      </c>
      <c r="G49" s="26">
        <v>14.4</v>
      </c>
      <c r="H49" s="26">
        <v>15</v>
      </c>
      <c r="I49" s="26">
        <v>15.5</v>
      </c>
      <c r="J49" s="26">
        <v>15</v>
      </c>
      <c r="K49" s="26">
        <v>15</v>
      </c>
      <c r="L49" s="26">
        <v>14</v>
      </c>
      <c r="M49" s="26">
        <v>9</v>
      </c>
      <c r="N49" s="26">
        <v>14.67</v>
      </c>
      <c r="O49" s="26">
        <v>15</v>
      </c>
      <c r="P49" s="26">
        <v>16.14</v>
      </c>
      <c r="Q49" s="26">
        <v>15</v>
      </c>
      <c r="R49" s="26">
        <v>13</v>
      </c>
      <c r="S49" s="26">
        <v>12.33</v>
      </c>
      <c r="T49" s="26">
        <v>15</v>
      </c>
      <c r="U49" s="26">
        <v>15.2</v>
      </c>
      <c r="V49" s="26">
        <v>14.6</v>
      </c>
      <c r="W49" s="26">
        <v>10</v>
      </c>
      <c r="X49" s="26">
        <v>15.6</v>
      </c>
      <c r="Y49" s="26">
        <v>14.5</v>
      </c>
    </row>
    <row r="50" spans="1:38" ht="27.75" customHeight="1" x14ac:dyDescent="0.4">
      <c r="A50" s="25"/>
      <c r="B50" s="1" t="s">
        <v>17</v>
      </c>
      <c r="C50" s="26">
        <f t="shared" ref="C50:Y50" si="18">IF(C49&gt;0,C48/C49,0)</f>
        <v>12.6875</v>
      </c>
      <c r="D50" s="27">
        <f t="shared" si="18"/>
        <v>0</v>
      </c>
      <c r="E50" s="26">
        <f t="shared" si="18"/>
        <v>12.922077922077921</v>
      </c>
      <c r="F50" s="26">
        <f t="shared" si="18"/>
        <v>13.15</v>
      </c>
      <c r="G50" s="26">
        <f t="shared" si="18"/>
        <v>12.916666666666666</v>
      </c>
      <c r="H50" s="26">
        <f t="shared" si="18"/>
        <v>11.822222222222223</v>
      </c>
      <c r="I50" s="26">
        <f t="shared" si="18"/>
        <v>9.6666666666666679</v>
      </c>
      <c r="J50" s="26">
        <f t="shared" si="18"/>
        <v>7.9</v>
      </c>
      <c r="K50" s="26">
        <f t="shared" si="18"/>
        <v>9.6333333333333329</v>
      </c>
      <c r="L50" s="26">
        <f t="shared" si="18"/>
        <v>11.071428571428571</v>
      </c>
      <c r="M50" s="26">
        <f t="shared" si="18"/>
        <v>6.4444444444444446</v>
      </c>
      <c r="N50" s="26">
        <f t="shared" si="18"/>
        <v>9.6568961599636438</v>
      </c>
      <c r="O50" s="26">
        <f t="shared" si="18"/>
        <v>14.833333333333334</v>
      </c>
      <c r="P50" s="26">
        <f t="shared" si="18"/>
        <v>11.400247831474596</v>
      </c>
      <c r="Q50" s="26">
        <f t="shared" si="18"/>
        <v>10.888888888888889</v>
      </c>
      <c r="R50" s="26">
        <f t="shared" si="18"/>
        <v>5.615384615384615</v>
      </c>
      <c r="S50" s="26">
        <f t="shared" si="18"/>
        <v>8.8402270884022709</v>
      </c>
      <c r="T50" s="26">
        <f t="shared" si="18"/>
        <v>14.05</v>
      </c>
      <c r="U50" s="26">
        <f t="shared" si="18"/>
        <v>13.338815789473685</v>
      </c>
      <c r="V50" s="26">
        <f t="shared" si="18"/>
        <v>13.356164383561644</v>
      </c>
      <c r="W50" s="26">
        <f t="shared" si="18"/>
        <v>8.75</v>
      </c>
      <c r="X50" s="26">
        <f t="shared" si="18"/>
        <v>13.605769230769232</v>
      </c>
      <c r="Y50" s="108">
        <f t="shared" si="18"/>
        <v>12.419540229885058</v>
      </c>
      <c r="Z50" s="2">
        <f>SUM(C50:Y50)</f>
        <v>244.96960737797679</v>
      </c>
      <c r="AB50" s="1" t="s">
        <v>18</v>
      </c>
      <c r="AD50" s="1">
        <f>AF48/11.5</f>
        <v>27.173913043478262</v>
      </c>
    </row>
    <row r="51" spans="1:38" ht="27.75" customHeight="1" x14ac:dyDescent="0.4">
      <c r="A51" s="25"/>
      <c r="B51" s="1" t="s">
        <v>19</v>
      </c>
      <c r="C51" s="26">
        <f t="shared" ref="C51:Y51" si="19">IF(C49&gt;0,11.5,0)</f>
        <v>11.5</v>
      </c>
      <c r="D51" s="27">
        <f t="shared" si="19"/>
        <v>0</v>
      </c>
      <c r="E51" s="26">
        <f t="shared" si="19"/>
        <v>11.5</v>
      </c>
      <c r="F51" s="26">
        <f t="shared" si="19"/>
        <v>11.5</v>
      </c>
      <c r="G51" s="26">
        <f t="shared" si="19"/>
        <v>11.5</v>
      </c>
      <c r="H51" s="26">
        <f t="shared" si="19"/>
        <v>11.5</v>
      </c>
      <c r="I51" s="26">
        <f t="shared" si="19"/>
        <v>11.5</v>
      </c>
      <c r="J51" s="26">
        <f t="shared" si="19"/>
        <v>11.5</v>
      </c>
      <c r="K51" s="26">
        <f t="shared" si="19"/>
        <v>11.5</v>
      </c>
      <c r="L51" s="26">
        <f t="shared" si="19"/>
        <v>11.5</v>
      </c>
      <c r="M51" s="26">
        <f t="shared" si="19"/>
        <v>11.5</v>
      </c>
      <c r="N51" s="26">
        <f t="shared" si="19"/>
        <v>11.5</v>
      </c>
      <c r="O51" s="26">
        <f t="shared" si="19"/>
        <v>11.5</v>
      </c>
      <c r="P51" s="26">
        <f t="shared" si="19"/>
        <v>11.5</v>
      </c>
      <c r="Q51" s="26">
        <f t="shared" si="19"/>
        <v>11.5</v>
      </c>
      <c r="R51" s="26">
        <f t="shared" si="19"/>
        <v>11.5</v>
      </c>
      <c r="S51" s="26">
        <f t="shared" si="19"/>
        <v>11.5</v>
      </c>
      <c r="T51" s="26">
        <f t="shared" si="19"/>
        <v>11.5</v>
      </c>
      <c r="U51" s="26">
        <f t="shared" si="19"/>
        <v>11.5</v>
      </c>
      <c r="V51" s="26">
        <f t="shared" si="19"/>
        <v>11.5</v>
      </c>
      <c r="W51" s="26">
        <f t="shared" si="19"/>
        <v>11.5</v>
      </c>
      <c r="X51" s="26">
        <f t="shared" si="19"/>
        <v>11.5</v>
      </c>
      <c r="Y51" s="108">
        <f t="shared" si="19"/>
        <v>11.5</v>
      </c>
      <c r="Z51" s="2">
        <f>SUM(C51:Y51)</f>
        <v>253</v>
      </c>
      <c r="AB51" s="1" t="s">
        <v>20</v>
      </c>
      <c r="AD51" s="1">
        <f>Z52*AD50</f>
        <v>-218.21719081584794</v>
      </c>
    </row>
    <row r="52" spans="1:38" ht="27.75" customHeight="1" x14ac:dyDescent="0.4">
      <c r="A52" s="28"/>
      <c r="B52" s="29" t="s">
        <v>21</v>
      </c>
      <c r="C52" s="30">
        <f t="shared" ref="C52:Y52" si="20">IF(C49&gt;0,C50-C51,0)</f>
        <v>1.1875</v>
      </c>
      <c r="D52" s="31">
        <f t="shared" si="20"/>
        <v>0</v>
      </c>
      <c r="E52" s="30">
        <f t="shared" si="20"/>
        <v>1.4220779220779214</v>
      </c>
      <c r="F52" s="30">
        <f t="shared" si="20"/>
        <v>1.6500000000000004</v>
      </c>
      <c r="G52" s="30">
        <f t="shared" si="20"/>
        <v>1.4166666666666661</v>
      </c>
      <c r="H52" s="30">
        <f t="shared" si="20"/>
        <v>0.32222222222222285</v>
      </c>
      <c r="I52" s="30">
        <f t="shared" si="20"/>
        <v>-1.8333333333333321</v>
      </c>
      <c r="J52" s="30">
        <f t="shared" si="20"/>
        <v>-3.5999999999999996</v>
      </c>
      <c r="K52" s="30">
        <f t="shared" si="20"/>
        <v>-1.8666666666666671</v>
      </c>
      <c r="L52" s="30">
        <f t="shared" si="20"/>
        <v>-0.42857142857142883</v>
      </c>
      <c r="M52" s="30">
        <f t="shared" si="20"/>
        <v>-5.0555555555555554</v>
      </c>
      <c r="N52" s="30">
        <f t="shared" si="20"/>
        <v>-1.8431038400363562</v>
      </c>
      <c r="O52" s="30">
        <f t="shared" si="20"/>
        <v>3.3333333333333339</v>
      </c>
      <c r="P52" s="30">
        <f t="shared" si="20"/>
        <v>-9.9752168525403917E-2</v>
      </c>
      <c r="Q52" s="30">
        <f t="shared" si="20"/>
        <v>-0.61111111111111072</v>
      </c>
      <c r="R52" s="30">
        <f t="shared" si="20"/>
        <v>-5.884615384615385</v>
      </c>
      <c r="S52" s="30">
        <f t="shared" si="20"/>
        <v>-2.6597729115977291</v>
      </c>
      <c r="T52" s="30">
        <f t="shared" si="20"/>
        <v>2.5500000000000007</v>
      </c>
      <c r="U52" s="30">
        <f t="shared" si="20"/>
        <v>1.838815789473685</v>
      </c>
      <c r="V52" s="30">
        <f t="shared" si="20"/>
        <v>1.8561643835616444</v>
      </c>
      <c r="W52" s="30">
        <f t="shared" si="20"/>
        <v>-2.75</v>
      </c>
      <c r="X52" s="30">
        <f t="shared" si="20"/>
        <v>2.1057692307692317</v>
      </c>
      <c r="Y52" s="109">
        <f t="shared" si="20"/>
        <v>0.91954022988505812</v>
      </c>
      <c r="Z52" s="2">
        <f>SUM(C52:Y52)</f>
        <v>-8.0303926220232036</v>
      </c>
      <c r="AE52">
        <f>AC52/175</f>
        <v>0</v>
      </c>
    </row>
    <row r="53" spans="1:38" ht="27.75" customHeight="1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38" ht="27.75" customHeight="1" x14ac:dyDescent="0.4">
      <c r="B54" s="1" t="s">
        <v>32</v>
      </c>
      <c r="C54" s="3">
        <v>1.04</v>
      </c>
      <c r="D54" s="4">
        <v>2.04</v>
      </c>
      <c r="E54" s="4">
        <v>3.04</v>
      </c>
      <c r="F54" s="4">
        <v>4.04</v>
      </c>
      <c r="G54" s="4">
        <v>6.04</v>
      </c>
      <c r="H54" s="4">
        <v>7.04</v>
      </c>
      <c r="I54" s="4">
        <v>8.0399999999999991</v>
      </c>
      <c r="J54" s="4">
        <v>9.0399999999999991</v>
      </c>
      <c r="K54" s="4">
        <v>10.039999999999999</v>
      </c>
      <c r="L54" s="4">
        <v>14.04</v>
      </c>
      <c r="M54" s="5">
        <v>16.04</v>
      </c>
      <c r="N54" s="4">
        <v>17.04</v>
      </c>
      <c r="O54" s="4">
        <v>18.04</v>
      </c>
      <c r="P54" s="4">
        <v>20.04</v>
      </c>
      <c r="Q54" s="4">
        <v>21.04</v>
      </c>
      <c r="R54" s="4">
        <v>22.04</v>
      </c>
      <c r="S54" s="4">
        <v>23.04</v>
      </c>
      <c r="T54" s="4">
        <v>24.04</v>
      </c>
      <c r="U54" s="4">
        <v>25.04</v>
      </c>
      <c r="V54" s="4">
        <v>27.04</v>
      </c>
      <c r="W54" s="4">
        <v>28.04</v>
      </c>
      <c r="X54" s="6">
        <v>29.04</v>
      </c>
      <c r="Y54" s="8">
        <v>30.04</v>
      </c>
      <c r="Z54" s="9" t="s">
        <v>1</v>
      </c>
      <c r="AA54" s="10" t="s">
        <v>2</v>
      </c>
      <c r="AB54" s="11" t="s">
        <v>3</v>
      </c>
      <c r="AC54" s="12" t="s">
        <v>4</v>
      </c>
      <c r="AD54" s="12" t="s">
        <v>5</v>
      </c>
      <c r="AE54" s="10" t="s">
        <v>6</v>
      </c>
      <c r="AF54" s="10" t="s">
        <v>7</v>
      </c>
      <c r="AG54" s="13" t="s">
        <v>8</v>
      </c>
      <c r="AH54" s="10" t="s">
        <v>9</v>
      </c>
      <c r="AI54" s="10" t="s">
        <v>10</v>
      </c>
      <c r="AJ54" s="14" t="s">
        <v>11</v>
      </c>
      <c r="AK54" s="10" t="s">
        <v>12</v>
      </c>
      <c r="AL54" s="104" t="s">
        <v>13</v>
      </c>
    </row>
    <row r="55" spans="1:38" ht="45.75" customHeight="1" x14ac:dyDescent="0.6">
      <c r="A55" s="15">
        <v>6</v>
      </c>
      <c r="B55" s="16" t="s">
        <v>33</v>
      </c>
      <c r="C55" s="17">
        <v>203</v>
      </c>
      <c r="D55" s="17">
        <v>197.25</v>
      </c>
      <c r="E55" s="18">
        <v>199</v>
      </c>
      <c r="F55" s="17">
        <v>197.25</v>
      </c>
      <c r="G55" s="17">
        <v>186</v>
      </c>
      <c r="H55" s="17">
        <f>166+68/6</f>
        <v>177.33333333333334</v>
      </c>
      <c r="I55" s="17">
        <f>149+5/6</f>
        <v>149.83333333333334</v>
      </c>
      <c r="J55" s="17">
        <v>118.5</v>
      </c>
      <c r="K55" s="17">
        <v>144.5</v>
      </c>
      <c r="L55" s="17">
        <f>154+6/6</f>
        <v>155</v>
      </c>
      <c r="M55" s="19">
        <v>0</v>
      </c>
      <c r="N55" s="17">
        <f>138.5+19/6</f>
        <v>141.66666666666666</v>
      </c>
      <c r="O55" s="17">
        <v>222.5</v>
      </c>
      <c r="P55" s="17">
        <v>184</v>
      </c>
      <c r="Q55" s="17">
        <f>160+20/6</f>
        <v>163.33333333333334</v>
      </c>
      <c r="R55" s="17">
        <v>73</v>
      </c>
      <c r="S55" s="17">
        <v>109</v>
      </c>
      <c r="T55" s="17">
        <v>210.75</v>
      </c>
      <c r="U55" s="17">
        <v>202.75</v>
      </c>
      <c r="V55" s="17">
        <v>195</v>
      </c>
      <c r="W55" s="17">
        <v>87.5</v>
      </c>
      <c r="X55" s="17">
        <v>212.25</v>
      </c>
      <c r="Y55" s="17">
        <f>176.25+23/6</f>
        <v>180.08333333333334</v>
      </c>
      <c r="Z55" s="20">
        <f>SUM(C55:Y55)</f>
        <v>3709.5</v>
      </c>
      <c r="AA55" s="21">
        <f>COUNTIF(C56:Y56,"&gt;0")</f>
        <v>22</v>
      </c>
      <c r="AB55" s="21">
        <f>AA55*AB4</f>
        <v>3740</v>
      </c>
      <c r="AC55" s="21">
        <f>Z55-AB55</f>
        <v>-30.5</v>
      </c>
      <c r="AD55" s="21">
        <f>AD4</f>
        <v>24</v>
      </c>
      <c r="AE55" s="21">
        <f>AC55/175</f>
        <v>-0.17428571428571429</v>
      </c>
      <c r="AF55" s="21">
        <f>AH55/AD55</f>
        <v>354.16666666666669</v>
      </c>
      <c r="AG55" s="22">
        <f>AF55*AE55</f>
        <v>-61.726190476190482</v>
      </c>
      <c r="AH55" s="21">
        <v>8500</v>
      </c>
      <c r="AI55" s="23">
        <f>AH55+AG55</f>
        <v>8438.2738095238092</v>
      </c>
      <c r="AJ55" s="16" t="s">
        <v>33</v>
      </c>
      <c r="AK55" s="37"/>
      <c r="AL55" s="37"/>
    </row>
    <row r="56" spans="1:38" ht="27.75" customHeight="1" x14ac:dyDescent="0.4">
      <c r="A56" s="25"/>
      <c r="B56" s="1" t="s">
        <v>16</v>
      </c>
      <c r="C56" s="26">
        <v>16</v>
      </c>
      <c r="D56" s="26">
        <v>14.6</v>
      </c>
      <c r="E56" s="26">
        <v>15.4</v>
      </c>
      <c r="F56" s="26">
        <v>15</v>
      </c>
      <c r="G56" s="26">
        <v>14.4</v>
      </c>
      <c r="H56" s="26">
        <v>15</v>
      </c>
      <c r="I56" s="26">
        <v>15.5</v>
      </c>
      <c r="J56" s="26">
        <v>15</v>
      </c>
      <c r="K56" s="26">
        <v>15</v>
      </c>
      <c r="L56" s="26">
        <v>14</v>
      </c>
      <c r="M56" s="27">
        <v>0</v>
      </c>
      <c r="N56" s="26">
        <v>14.67</v>
      </c>
      <c r="O56" s="26">
        <v>15</v>
      </c>
      <c r="P56" s="26">
        <v>16.14</v>
      </c>
      <c r="Q56" s="26">
        <v>15</v>
      </c>
      <c r="R56" s="26">
        <v>13</v>
      </c>
      <c r="S56" s="26">
        <v>12.33</v>
      </c>
      <c r="T56" s="26">
        <v>15</v>
      </c>
      <c r="U56" s="26">
        <v>15.2</v>
      </c>
      <c r="V56" s="26">
        <v>14.6</v>
      </c>
      <c r="W56" s="26">
        <v>10</v>
      </c>
      <c r="X56" s="26">
        <v>15.6</v>
      </c>
      <c r="Y56" s="26">
        <v>14.5</v>
      </c>
    </row>
    <row r="57" spans="1:38" ht="27.75" customHeight="1" x14ac:dyDescent="0.4">
      <c r="A57" s="25"/>
      <c r="B57" s="1" t="s">
        <v>17</v>
      </c>
      <c r="C57" s="26">
        <f t="shared" ref="C57:Y57" si="21">IF(C56&gt;0,C55/C56,0)</f>
        <v>12.6875</v>
      </c>
      <c r="D57" s="26">
        <f t="shared" si="21"/>
        <v>13.510273972602739</v>
      </c>
      <c r="E57" s="26">
        <f t="shared" si="21"/>
        <v>12.922077922077921</v>
      </c>
      <c r="F57" s="26">
        <f t="shared" si="21"/>
        <v>13.15</v>
      </c>
      <c r="G57" s="26">
        <f t="shared" si="21"/>
        <v>12.916666666666666</v>
      </c>
      <c r="H57" s="26">
        <f t="shared" si="21"/>
        <v>11.822222222222223</v>
      </c>
      <c r="I57" s="26">
        <f t="shared" si="21"/>
        <v>9.6666666666666679</v>
      </c>
      <c r="J57" s="26">
        <f t="shared" si="21"/>
        <v>7.9</v>
      </c>
      <c r="K57" s="26">
        <f t="shared" si="21"/>
        <v>9.6333333333333329</v>
      </c>
      <c r="L57" s="26">
        <f t="shared" si="21"/>
        <v>11.071428571428571</v>
      </c>
      <c r="M57" s="27">
        <f t="shared" si="21"/>
        <v>0</v>
      </c>
      <c r="N57" s="26">
        <f t="shared" si="21"/>
        <v>9.6568961599636438</v>
      </c>
      <c r="O57" s="26">
        <f t="shared" si="21"/>
        <v>14.833333333333334</v>
      </c>
      <c r="P57" s="26">
        <f t="shared" si="21"/>
        <v>11.400247831474596</v>
      </c>
      <c r="Q57" s="26">
        <f t="shared" si="21"/>
        <v>10.888888888888889</v>
      </c>
      <c r="R57" s="26">
        <f t="shared" si="21"/>
        <v>5.615384615384615</v>
      </c>
      <c r="S57" s="26">
        <f t="shared" si="21"/>
        <v>8.8402270884022709</v>
      </c>
      <c r="T57" s="26">
        <f t="shared" si="21"/>
        <v>14.05</v>
      </c>
      <c r="U57" s="26">
        <f t="shared" si="21"/>
        <v>13.338815789473685</v>
      </c>
      <c r="V57" s="26">
        <f t="shared" si="21"/>
        <v>13.356164383561644</v>
      </c>
      <c r="W57" s="26">
        <f t="shared" si="21"/>
        <v>8.75</v>
      </c>
      <c r="X57" s="26">
        <f t="shared" si="21"/>
        <v>13.605769230769232</v>
      </c>
      <c r="Y57" s="26">
        <f t="shared" si="21"/>
        <v>12.419540229885058</v>
      </c>
      <c r="Z57" s="2">
        <f>SUM(C57:Y57)</f>
        <v>252.03543690613509</v>
      </c>
      <c r="AB57" s="1" t="s">
        <v>18</v>
      </c>
      <c r="AD57" s="1">
        <f>AF55/11.5</f>
        <v>30.797101449275363</v>
      </c>
    </row>
    <row r="58" spans="1:38" ht="27.75" customHeight="1" x14ac:dyDescent="0.4">
      <c r="A58" s="25"/>
      <c r="B58" s="1" t="s">
        <v>19</v>
      </c>
      <c r="C58" s="26">
        <f t="shared" ref="C58:Y58" si="22">IF(C56&gt;0,11.5,0)</f>
        <v>11.5</v>
      </c>
      <c r="D58" s="26">
        <f t="shared" si="22"/>
        <v>11.5</v>
      </c>
      <c r="E58" s="26">
        <f t="shared" si="22"/>
        <v>11.5</v>
      </c>
      <c r="F58" s="26">
        <f t="shared" si="22"/>
        <v>11.5</v>
      </c>
      <c r="G58" s="26">
        <f t="shared" si="22"/>
        <v>11.5</v>
      </c>
      <c r="H58" s="26">
        <f t="shared" si="22"/>
        <v>11.5</v>
      </c>
      <c r="I58" s="26">
        <f t="shared" si="22"/>
        <v>11.5</v>
      </c>
      <c r="J58" s="26">
        <f t="shared" si="22"/>
        <v>11.5</v>
      </c>
      <c r="K58" s="26">
        <f t="shared" si="22"/>
        <v>11.5</v>
      </c>
      <c r="L58" s="26">
        <f t="shared" si="22"/>
        <v>11.5</v>
      </c>
      <c r="M58" s="27">
        <f t="shared" si="22"/>
        <v>0</v>
      </c>
      <c r="N58" s="26">
        <f t="shared" si="22"/>
        <v>11.5</v>
      </c>
      <c r="O58" s="26">
        <f t="shared" si="22"/>
        <v>11.5</v>
      </c>
      <c r="P58" s="26">
        <f t="shared" si="22"/>
        <v>11.5</v>
      </c>
      <c r="Q58" s="26">
        <f t="shared" si="22"/>
        <v>11.5</v>
      </c>
      <c r="R58" s="26">
        <f t="shared" si="22"/>
        <v>11.5</v>
      </c>
      <c r="S58" s="26">
        <f t="shared" si="22"/>
        <v>11.5</v>
      </c>
      <c r="T58" s="26">
        <f t="shared" si="22"/>
        <v>11.5</v>
      </c>
      <c r="U58" s="26">
        <f t="shared" si="22"/>
        <v>11.5</v>
      </c>
      <c r="V58" s="26">
        <f t="shared" si="22"/>
        <v>11.5</v>
      </c>
      <c r="W58" s="26">
        <f t="shared" si="22"/>
        <v>11.5</v>
      </c>
      <c r="X58" s="26">
        <f t="shared" si="22"/>
        <v>11.5</v>
      </c>
      <c r="Y58" s="26">
        <f t="shared" si="22"/>
        <v>11.5</v>
      </c>
      <c r="Z58" s="2">
        <f>SUM(C58:Y58)</f>
        <v>253</v>
      </c>
      <c r="AB58" s="1" t="s">
        <v>20</v>
      </c>
      <c r="AD58" s="1">
        <f>Z59*AD57</f>
        <v>-29.705747455984511</v>
      </c>
    </row>
    <row r="59" spans="1:38" ht="27.75" customHeight="1" x14ac:dyDescent="0.4">
      <c r="A59" s="28"/>
      <c r="B59" s="29" t="s">
        <v>21</v>
      </c>
      <c r="C59" s="30">
        <f t="shared" ref="C59:Y59" si="23">IF(C56&gt;0,C57-C58,0)</f>
        <v>1.1875</v>
      </c>
      <c r="D59" s="30">
        <f t="shared" si="23"/>
        <v>2.0102739726027394</v>
      </c>
      <c r="E59" s="30">
        <f t="shared" si="23"/>
        <v>1.4220779220779214</v>
      </c>
      <c r="F59" s="30">
        <f t="shared" si="23"/>
        <v>1.6500000000000004</v>
      </c>
      <c r="G59" s="30">
        <f t="shared" si="23"/>
        <v>1.4166666666666661</v>
      </c>
      <c r="H59" s="30">
        <f t="shared" si="23"/>
        <v>0.32222222222222285</v>
      </c>
      <c r="I59" s="30">
        <f t="shared" si="23"/>
        <v>-1.8333333333333321</v>
      </c>
      <c r="J59" s="30">
        <f t="shared" si="23"/>
        <v>-3.5999999999999996</v>
      </c>
      <c r="K59" s="30">
        <f t="shared" si="23"/>
        <v>-1.8666666666666671</v>
      </c>
      <c r="L59" s="30">
        <f t="shared" si="23"/>
        <v>-0.42857142857142883</v>
      </c>
      <c r="M59" s="31">
        <f t="shared" si="23"/>
        <v>0</v>
      </c>
      <c r="N59" s="30">
        <f t="shared" si="23"/>
        <v>-1.8431038400363562</v>
      </c>
      <c r="O59" s="30">
        <f t="shared" si="23"/>
        <v>3.3333333333333339</v>
      </c>
      <c r="P59" s="30">
        <f t="shared" si="23"/>
        <v>-9.9752168525403917E-2</v>
      </c>
      <c r="Q59" s="30">
        <f t="shared" si="23"/>
        <v>-0.61111111111111072</v>
      </c>
      <c r="R59" s="30">
        <f t="shared" si="23"/>
        <v>-5.884615384615385</v>
      </c>
      <c r="S59" s="30">
        <f t="shared" si="23"/>
        <v>-2.6597729115977291</v>
      </c>
      <c r="T59" s="30">
        <f t="shared" si="23"/>
        <v>2.5500000000000007</v>
      </c>
      <c r="U59" s="30">
        <f t="shared" si="23"/>
        <v>1.838815789473685</v>
      </c>
      <c r="V59" s="30">
        <f t="shared" si="23"/>
        <v>1.8561643835616444</v>
      </c>
      <c r="W59" s="30">
        <f t="shared" si="23"/>
        <v>-2.75</v>
      </c>
      <c r="X59" s="30">
        <f t="shared" si="23"/>
        <v>2.1057692307692317</v>
      </c>
      <c r="Y59" s="30">
        <f t="shared" si="23"/>
        <v>0.91954022988505812</v>
      </c>
      <c r="Z59" s="2">
        <f>SUM(C59:Y59)</f>
        <v>-0.96456309386490879</v>
      </c>
      <c r="AE59">
        <f>AC59/175</f>
        <v>0</v>
      </c>
    </row>
    <row r="60" spans="1:38" ht="27.75" customHeight="1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38" ht="27.75" customHeight="1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38" ht="27.75" customHeight="1" x14ac:dyDescent="0.4">
      <c r="B62" s="1" t="s">
        <v>34</v>
      </c>
      <c r="C62" s="3">
        <v>1.04</v>
      </c>
      <c r="D62" s="4">
        <v>2.04</v>
      </c>
      <c r="E62" s="4">
        <v>3.04</v>
      </c>
      <c r="F62" s="4">
        <v>4.04</v>
      </c>
      <c r="G62" s="4">
        <v>6.04</v>
      </c>
      <c r="H62" s="4">
        <v>7.04</v>
      </c>
      <c r="I62" s="4">
        <v>8.0399999999999991</v>
      </c>
      <c r="J62" s="4">
        <v>9.0399999999999991</v>
      </c>
      <c r="K62" s="4">
        <v>10.039999999999999</v>
      </c>
      <c r="L62" s="4">
        <v>14.04</v>
      </c>
      <c r="M62" s="5">
        <v>16.04</v>
      </c>
      <c r="N62" s="4">
        <v>17.04</v>
      </c>
      <c r="O62" s="105">
        <v>18.04</v>
      </c>
      <c r="P62" s="4">
        <v>20.04</v>
      </c>
      <c r="Q62" s="4">
        <v>21.04</v>
      </c>
      <c r="R62" s="4">
        <v>22.04</v>
      </c>
      <c r="S62" s="4">
        <v>23.04</v>
      </c>
      <c r="T62" s="4">
        <v>24.04</v>
      </c>
      <c r="U62" s="4">
        <v>25.04</v>
      </c>
      <c r="V62" s="4">
        <v>27.04</v>
      </c>
      <c r="W62" s="4">
        <v>28.04</v>
      </c>
      <c r="X62" s="6">
        <v>29.04</v>
      </c>
      <c r="Y62" s="8">
        <v>30.04</v>
      </c>
      <c r="Z62" s="9" t="s">
        <v>1</v>
      </c>
      <c r="AA62" s="10" t="s">
        <v>2</v>
      </c>
      <c r="AB62" s="11" t="s">
        <v>3</v>
      </c>
      <c r="AC62" s="12" t="s">
        <v>4</v>
      </c>
      <c r="AD62" s="12" t="s">
        <v>5</v>
      </c>
      <c r="AE62" s="10" t="s">
        <v>6</v>
      </c>
      <c r="AF62" s="10" t="s">
        <v>7</v>
      </c>
      <c r="AG62" s="13" t="s">
        <v>8</v>
      </c>
      <c r="AH62" s="10" t="s">
        <v>9</v>
      </c>
      <c r="AI62" s="10" t="s">
        <v>10</v>
      </c>
      <c r="AJ62" s="14" t="s">
        <v>11</v>
      </c>
      <c r="AK62" s="10" t="s">
        <v>12</v>
      </c>
      <c r="AL62" s="104" t="s">
        <v>13</v>
      </c>
    </row>
    <row r="63" spans="1:38" ht="41.25" customHeight="1" x14ac:dyDescent="0.6">
      <c r="A63" s="15">
        <v>7</v>
      </c>
      <c r="B63" s="16" t="s">
        <v>35</v>
      </c>
      <c r="C63" s="17">
        <v>203</v>
      </c>
      <c r="D63" s="17">
        <v>197.25</v>
      </c>
      <c r="E63" s="18">
        <v>199</v>
      </c>
      <c r="F63" s="17">
        <v>197.25</v>
      </c>
      <c r="G63" s="17">
        <v>186</v>
      </c>
      <c r="H63" s="17">
        <f>166+68/6</f>
        <v>177.33333333333334</v>
      </c>
      <c r="I63" s="17">
        <f>149+5/6</f>
        <v>149.83333333333334</v>
      </c>
      <c r="J63" s="17">
        <v>118.5</v>
      </c>
      <c r="K63" s="17">
        <v>144.5</v>
      </c>
      <c r="L63" s="17">
        <f>154+6/6</f>
        <v>155</v>
      </c>
      <c r="M63" s="19">
        <v>0</v>
      </c>
      <c r="N63" s="17">
        <f>138.5+19/6</f>
        <v>141.66666666666666</v>
      </c>
      <c r="O63" s="106">
        <v>222.5</v>
      </c>
      <c r="P63" s="17">
        <v>184</v>
      </c>
      <c r="Q63" s="17">
        <f>160+20/6</f>
        <v>163.33333333333334</v>
      </c>
      <c r="R63" s="17">
        <v>73</v>
      </c>
      <c r="S63" s="17">
        <v>109</v>
      </c>
      <c r="T63" s="17">
        <v>210.75</v>
      </c>
      <c r="U63" s="17">
        <v>202.75</v>
      </c>
      <c r="V63" s="17">
        <v>195</v>
      </c>
      <c r="W63" s="17">
        <v>87.5</v>
      </c>
      <c r="X63" s="17">
        <v>212.25</v>
      </c>
      <c r="Y63" s="17">
        <f>176.25+23/6</f>
        <v>180.08333333333334</v>
      </c>
      <c r="Z63" s="20">
        <f>SUM(C63:Y63)</f>
        <v>3709.5</v>
      </c>
      <c r="AA63" s="21">
        <f>COUNTIF(C64:Y64,"&gt;0")</f>
        <v>22</v>
      </c>
      <c r="AB63" s="21">
        <f>AA63*AB4</f>
        <v>3740</v>
      </c>
      <c r="AC63" s="21">
        <f>Z63-AB63</f>
        <v>-30.5</v>
      </c>
      <c r="AD63" s="21">
        <f>AD4</f>
        <v>24</v>
      </c>
      <c r="AE63" s="21">
        <f>AC63/175</f>
        <v>-0.17428571428571429</v>
      </c>
      <c r="AF63" s="21">
        <f>AH63/AD63</f>
        <v>333.33333333333331</v>
      </c>
      <c r="AG63" s="22">
        <f>AF63*AE63</f>
        <v>-58.095238095238095</v>
      </c>
      <c r="AH63" s="21">
        <v>8000</v>
      </c>
      <c r="AI63" s="23">
        <f>AH63+AG63</f>
        <v>7941.9047619047615</v>
      </c>
      <c r="AJ63" s="16" t="s">
        <v>35</v>
      </c>
      <c r="AK63" s="24"/>
      <c r="AL63" s="107" t="s">
        <v>60</v>
      </c>
    </row>
    <row r="64" spans="1:38" ht="27.75" customHeight="1" x14ac:dyDescent="0.4">
      <c r="A64" s="25"/>
      <c r="B64" s="1" t="s">
        <v>16</v>
      </c>
      <c r="C64" s="26">
        <v>16</v>
      </c>
      <c r="D64" s="26">
        <v>14.6</v>
      </c>
      <c r="E64" s="26">
        <v>15.4</v>
      </c>
      <c r="F64" s="26">
        <v>15</v>
      </c>
      <c r="G64" s="26">
        <v>14.4</v>
      </c>
      <c r="H64" s="26">
        <v>15</v>
      </c>
      <c r="I64" s="26">
        <v>15.5</v>
      </c>
      <c r="J64" s="26">
        <v>15</v>
      </c>
      <c r="K64" s="26">
        <v>15</v>
      </c>
      <c r="L64" s="26">
        <v>14</v>
      </c>
      <c r="M64" s="27">
        <v>0</v>
      </c>
      <c r="N64" s="26">
        <v>14.67</v>
      </c>
      <c r="O64" s="108">
        <v>15</v>
      </c>
      <c r="P64" s="26">
        <v>16.14</v>
      </c>
      <c r="Q64" s="26">
        <v>15</v>
      </c>
      <c r="R64" s="26">
        <v>13</v>
      </c>
      <c r="S64" s="26">
        <v>12.33</v>
      </c>
      <c r="T64" s="26">
        <v>15</v>
      </c>
      <c r="U64" s="26">
        <v>15.2</v>
      </c>
      <c r="V64" s="26">
        <v>14.6</v>
      </c>
      <c r="W64" s="26">
        <v>10</v>
      </c>
      <c r="X64" s="26">
        <v>15.6</v>
      </c>
      <c r="Y64" s="26">
        <v>14.5</v>
      </c>
    </row>
    <row r="65" spans="1:38" ht="27.75" customHeight="1" x14ac:dyDescent="0.4">
      <c r="A65" s="25"/>
      <c r="B65" s="1" t="s">
        <v>17</v>
      </c>
      <c r="C65" s="26">
        <f t="shared" ref="C65:Y65" si="24">IF(C64&gt;0,C63/C64,0)</f>
        <v>12.6875</v>
      </c>
      <c r="D65" s="26">
        <f t="shared" si="24"/>
        <v>13.510273972602739</v>
      </c>
      <c r="E65" s="26">
        <f t="shared" si="24"/>
        <v>12.922077922077921</v>
      </c>
      <c r="F65" s="26">
        <f t="shared" si="24"/>
        <v>13.15</v>
      </c>
      <c r="G65" s="26">
        <f t="shared" si="24"/>
        <v>12.916666666666666</v>
      </c>
      <c r="H65" s="26">
        <f t="shared" si="24"/>
        <v>11.822222222222223</v>
      </c>
      <c r="I65" s="26">
        <f t="shared" si="24"/>
        <v>9.6666666666666679</v>
      </c>
      <c r="J65" s="26">
        <f t="shared" si="24"/>
        <v>7.9</v>
      </c>
      <c r="K65" s="26">
        <f t="shared" si="24"/>
        <v>9.6333333333333329</v>
      </c>
      <c r="L65" s="26">
        <f t="shared" si="24"/>
        <v>11.071428571428571</v>
      </c>
      <c r="M65" s="27">
        <f t="shared" si="24"/>
        <v>0</v>
      </c>
      <c r="N65" s="26">
        <f t="shared" si="24"/>
        <v>9.6568961599636438</v>
      </c>
      <c r="O65" s="108">
        <f t="shared" si="24"/>
        <v>14.833333333333334</v>
      </c>
      <c r="P65" s="26">
        <f t="shared" si="24"/>
        <v>11.400247831474596</v>
      </c>
      <c r="Q65" s="26">
        <f t="shared" si="24"/>
        <v>10.888888888888889</v>
      </c>
      <c r="R65" s="26">
        <f t="shared" si="24"/>
        <v>5.615384615384615</v>
      </c>
      <c r="S65" s="26">
        <f t="shared" si="24"/>
        <v>8.8402270884022709</v>
      </c>
      <c r="T65" s="26">
        <f t="shared" si="24"/>
        <v>14.05</v>
      </c>
      <c r="U65" s="26">
        <f t="shared" si="24"/>
        <v>13.338815789473685</v>
      </c>
      <c r="V65" s="26">
        <f t="shared" si="24"/>
        <v>13.356164383561644</v>
      </c>
      <c r="W65" s="26">
        <f t="shared" si="24"/>
        <v>8.75</v>
      </c>
      <c r="X65" s="26">
        <f t="shared" si="24"/>
        <v>13.605769230769232</v>
      </c>
      <c r="Y65" s="26">
        <f t="shared" si="24"/>
        <v>12.419540229885058</v>
      </c>
      <c r="Z65" s="2">
        <f>SUM(C65:Y65)</f>
        <v>252.03543690613509</v>
      </c>
      <c r="AB65" s="1" t="s">
        <v>18</v>
      </c>
      <c r="AD65" s="1">
        <f>AF63/11.5</f>
        <v>28.985507246376809</v>
      </c>
    </row>
    <row r="66" spans="1:38" ht="27.75" customHeight="1" x14ac:dyDescent="0.4">
      <c r="A66" s="25"/>
      <c r="B66" s="1" t="s">
        <v>19</v>
      </c>
      <c r="C66" s="26">
        <f t="shared" ref="C66:Y66" si="25">IF(C64&gt;0,11.5,0)</f>
        <v>11.5</v>
      </c>
      <c r="D66" s="26">
        <f t="shared" si="25"/>
        <v>11.5</v>
      </c>
      <c r="E66" s="26">
        <f t="shared" si="25"/>
        <v>11.5</v>
      </c>
      <c r="F66" s="26">
        <f t="shared" si="25"/>
        <v>11.5</v>
      </c>
      <c r="G66" s="26">
        <f t="shared" si="25"/>
        <v>11.5</v>
      </c>
      <c r="H66" s="26">
        <f t="shared" si="25"/>
        <v>11.5</v>
      </c>
      <c r="I66" s="26">
        <f t="shared" si="25"/>
        <v>11.5</v>
      </c>
      <c r="J66" s="26">
        <f t="shared" si="25"/>
        <v>11.5</v>
      </c>
      <c r="K66" s="26">
        <f t="shared" si="25"/>
        <v>11.5</v>
      </c>
      <c r="L66" s="26">
        <f t="shared" si="25"/>
        <v>11.5</v>
      </c>
      <c r="M66" s="27">
        <f t="shared" si="25"/>
        <v>0</v>
      </c>
      <c r="N66" s="26">
        <f t="shared" si="25"/>
        <v>11.5</v>
      </c>
      <c r="O66" s="108">
        <f t="shared" si="25"/>
        <v>11.5</v>
      </c>
      <c r="P66" s="26">
        <f t="shared" si="25"/>
        <v>11.5</v>
      </c>
      <c r="Q66" s="26">
        <f t="shared" si="25"/>
        <v>11.5</v>
      </c>
      <c r="R66" s="26">
        <f t="shared" si="25"/>
        <v>11.5</v>
      </c>
      <c r="S66" s="26">
        <f t="shared" si="25"/>
        <v>11.5</v>
      </c>
      <c r="T66" s="26">
        <f t="shared" si="25"/>
        <v>11.5</v>
      </c>
      <c r="U66" s="26">
        <f t="shared" si="25"/>
        <v>11.5</v>
      </c>
      <c r="V66" s="26">
        <f t="shared" si="25"/>
        <v>11.5</v>
      </c>
      <c r="W66" s="26">
        <f t="shared" si="25"/>
        <v>11.5</v>
      </c>
      <c r="X66" s="26">
        <f t="shared" si="25"/>
        <v>11.5</v>
      </c>
      <c r="Y66" s="26">
        <f t="shared" si="25"/>
        <v>11.5</v>
      </c>
      <c r="Z66" s="2">
        <f>SUM(C66:Y66)</f>
        <v>253</v>
      </c>
      <c r="AB66" s="1" t="s">
        <v>20</v>
      </c>
      <c r="AD66" s="1">
        <f>Z67*AD65</f>
        <v>-27.958350546808948</v>
      </c>
    </row>
    <row r="67" spans="1:38" ht="27.75" customHeight="1" x14ac:dyDescent="0.4">
      <c r="A67" s="28"/>
      <c r="B67" s="29" t="s">
        <v>21</v>
      </c>
      <c r="C67" s="30">
        <f t="shared" ref="C67:Y67" si="26">IF(C64&gt;0,C65-C66,0)</f>
        <v>1.1875</v>
      </c>
      <c r="D67" s="30">
        <f t="shared" si="26"/>
        <v>2.0102739726027394</v>
      </c>
      <c r="E67" s="30">
        <f t="shared" si="26"/>
        <v>1.4220779220779214</v>
      </c>
      <c r="F67" s="30">
        <f t="shared" si="26"/>
        <v>1.6500000000000004</v>
      </c>
      <c r="G67" s="30">
        <f t="shared" si="26"/>
        <v>1.4166666666666661</v>
      </c>
      <c r="H67" s="30">
        <f t="shared" si="26"/>
        <v>0.32222222222222285</v>
      </c>
      <c r="I67" s="30">
        <f t="shared" si="26"/>
        <v>-1.8333333333333321</v>
      </c>
      <c r="J67" s="30">
        <f t="shared" si="26"/>
        <v>-3.5999999999999996</v>
      </c>
      <c r="K67" s="30">
        <f t="shared" si="26"/>
        <v>-1.8666666666666671</v>
      </c>
      <c r="L67" s="30">
        <f t="shared" si="26"/>
        <v>-0.42857142857142883</v>
      </c>
      <c r="M67" s="31">
        <f t="shared" si="26"/>
        <v>0</v>
      </c>
      <c r="N67" s="30">
        <f t="shared" si="26"/>
        <v>-1.8431038400363562</v>
      </c>
      <c r="O67" s="109">
        <f t="shared" si="26"/>
        <v>3.3333333333333339</v>
      </c>
      <c r="P67" s="30">
        <f t="shared" si="26"/>
        <v>-9.9752168525403917E-2</v>
      </c>
      <c r="Q67" s="30">
        <f t="shared" si="26"/>
        <v>-0.61111111111111072</v>
      </c>
      <c r="R67" s="30">
        <f t="shared" si="26"/>
        <v>-5.884615384615385</v>
      </c>
      <c r="S67" s="30">
        <f t="shared" si="26"/>
        <v>-2.6597729115977291</v>
      </c>
      <c r="T67" s="30">
        <f t="shared" si="26"/>
        <v>2.5500000000000007</v>
      </c>
      <c r="U67" s="30">
        <f t="shared" si="26"/>
        <v>1.838815789473685</v>
      </c>
      <c r="V67" s="30">
        <f t="shared" si="26"/>
        <v>1.8561643835616444</v>
      </c>
      <c r="W67" s="30">
        <f t="shared" si="26"/>
        <v>-2.75</v>
      </c>
      <c r="X67" s="30">
        <f t="shared" si="26"/>
        <v>2.1057692307692317</v>
      </c>
      <c r="Y67" s="30">
        <f t="shared" si="26"/>
        <v>0.91954022988505812</v>
      </c>
      <c r="Z67" s="2">
        <f>SUM(C67:Y67)</f>
        <v>-0.96456309386490879</v>
      </c>
      <c r="AE67">
        <f>AC67/175</f>
        <v>0</v>
      </c>
    </row>
    <row r="68" spans="1:38" ht="27.75" customHeight="1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38" ht="27.75" customHeight="1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38" ht="27.75" customHeight="1" x14ac:dyDescent="0.4">
      <c r="B70" s="1" t="s">
        <v>36</v>
      </c>
      <c r="C70" s="3">
        <v>1.04</v>
      </c>
      <c r="D70" s="4">
        <v>2.04</v>
      </c>
      <c r="E70" s="4">
        <v>3.04</v>
      </c>
      <c r="F70" s="4">
        <v>4.04</v>
      </c>
      <c r="G70" s="5">
        <v>6.04</v>
      </c>
      <c r="H70" s="4">
        <v>7.04</v>
      </c>
      <c r="I70" s="4">
        <v>8.0399999999999991</v>
      </c>
      <c r="J70" s="4">
        <v>9.0399999999999991</v>
      </c>
      <c r="K70" s="4">
        <v>10.039999999999999</v>
      </c>
      <c r="L70" s="4">
        <v>14.04</v>
      </c>
      <c r="M70" s="4">
        <v>16.04</v>
      </c>
      <c r="N70" s="4">
        <v>17.04</v>
      </c>
      <c r="O70" s="4">
        <v>18.04</v>
      </c>
      <c r="P70" s="105">
        <v>20.04</v>
      </c>
      <c r="Q70" s="4">
        <v>21.04</v>
      </c>
      <c r="R70" s="4">
        <v>22.04</v>
      </c>
      <c r="S70" s="4">
        <v>23.04</v>
      </c>
      <c r="T70" s="4">
        <v>24.04</v>
      </c>
      <c r="U70" s="4">
        <v>25.04</v>
      </c>
      <c r="V70" s="4">
        <v>27.04</v>
      </c>
      <c r="W70" s="4">
        <v>28.04</v>
      </c>
      <c r="X70" s="112">
        <v>29.04</v>
      </c>
      <c r="Y70" s="8">
        <v>30.04</v>
      </c>
      <c r="Z70" s="9" t="s">
        <v>1</v>
      </c>
      <c r="AA70" s="10" t="s">
        <v>2</v>
      </c>
      <c r="AB70" s="11" t="s">
        <v>3</v>
      </c>
      <c r="AC70" s="12" t="s">
        <v>4</v>
      </c>
      <c r="AD70" s="12" t="s">
        <v>5</v>
      </c>
      <c r="AE70" s="10" t="s">
        <v>6</v>
      </c>
      <c r="AF70" s="10" t="s">
        <v>7</v>
      </c>
      <c r="AG70" s="13" t="s">
        <v>8</v>
      </c>
      <c r="AH70" s="10" t="s">
        <v>9</v>
      </c>
      <c r="AI70" s="10" t="s">
        <v>10</v>
      </c>
      <c r="AJ70" s="14" t="s">
        <v>11</v>
      </c>
      <c r="AK70" s="10" t="s">
        <v>12</v>
      </c>
      <c r="AL70" s="104" t="s">
        <v>13</v>
      </c>
    </row>
    <row r="71" spans="1:38" ht="44.25" customHeight="1" x14ac:dyDescent="0.6">
      <c r="A71" s="15">
        <v>8</v>
      </c>
      <c r="B71" s="46" t="s">
        <v>37</v>
      </c>
      <c r="C71" s="17">
        <v>203</v>
      </c>
      <c r="D71" s="17">
        <v>197.25</v>
      </c>
      <c r="E71" s="18">
        <v>199</v>
      </c>
      <c r="F71" s="17">
        <v>197.25</v>
      </c>
      <c r="G71" s="19">
        <v>0</v>
      </c>
      <c r="H71" s="17">
        <f>166+68/6</f>
        <v>177.33333333333334</v>
      </c>
      <c r="I71" s="17">
        <f>149+5/6</f>
        <v>149.83333333333334</v>
      </c>
      <c r="J71" s="17">
        <v>118.5</v>
      </c>
      <c r="K71" s="17">
        <v>144.5</v>
      </c>
      <c r="L71" s="17">
        <f>154+6/6</f>
        <v>155</v>
      </c>
      <c r="M71" s="17">
        <v>58</v>
      </c>
      <c r="N71" s="17">
        <f>138.5+19/6</f>
        <v>141.66666666666666</v>
      </c>
      <c r="O71" s="17">
        <v>222.5</v>
      </c>
      <c r="P71" s="106">
        <v>184</v>
      </c>
      <c r="Q71" s="17">
        <f>160+20/6</f>
        <v>163.33333333333334</v>
      </c>
      <c r="R71" s="17">
        <v>73</v>
      </c>
      <c r="S71" s="17">
        <v>109</v>
      </c>
      <c r="T71" s="17">
        <v>210.75</v>
      </c>
      <c r="U71" s="17">
        <v>202.75</v>
      </c>
      <c r="V71" s="17">
        <v>195</v>
      </c>
      <c r="W71" s="17">
        <v>87.5</v>
      </c>
      <c r="X71" s="106">
        <v>212.25</v>
      </c>
      <c r="Y71" s="17">
        <f>176.25+23/6</f>
        <v>180.08333333333334</v>
      </c>
      <c r="Z71" s="20">
        <f>SUM(C71:Y71)</f>
        <v>3581.5000000000005</v>
      </c>
      <c r="AA71" s="21">
        <f>COUNTIF(C72:Y72,"&gt;0")</f>
        <v>22</v>
      </c>
      <c r="AB71" s="21">
        <f>AA71*AB4</f>
        <v>3740</v>
      </c>
      <c r="AC71" s="21">
        <f>Z71-AB71</f>
        <v>-158.49999999999955</v>
      </c>
      <c r="AD71" s="21">
        <f>AD4</f>
        <v>24</v>
      </c>
      <c r="AE71" s="21">
        <f>AC71/175</f>
        <v>-0.90571428571428314</v>
      </c>
      <c r="AF71" s="21">
        <f>AH71/AD71</f>
        <v>291.66666666666669</v>
      </c>
      <c r="AG71" s="22">
        <f>AF71*AE71</f>
        <v>-264.16666666666595</v>
      </c>
      <c r="AH71" s="21">
        <v>7000</v>
      </c>
      <c r="AI71" s="23">
        <f>AH71+AG71</f>
        <v>6735.8333333333339</v>
      </c>
      <c r="AJ71" s="46" t="s">
        <v>37</v>
      </c>
      <c r="AK71" s="24"/>
      <c r="AL71" s="107" t="s">
        <v>61</v>
      </c>
    </row>
    <row r="72" spans="1:38" ht="27.75" customHeight="1" x14ac:dyDescent="0.4">
      <c r="A72" s="25"/>
      <c r="B72" s="1" t="s">
        <v>16</v>
      </c>
      <c r="C72" s="26">
        <v>16</v>
      </c>
      <c r="D72" s="26">
        <v>14.6</v>
      </c>
      <c r="E72" s="26">
        <v>15.4</v>
      </c>
      <c r="F72" s="26">
        <v>15</v>
      </c>
      <c r="G72" s="27">
        <v>0</v>
      </c>
      <c r="H72" s="26">
        <v>15</v>
      </c>
      <c r="I72" s="26">
        <v>15.5</v>
      </c>
      <c r="J72" s="26">
        <v>15</v>
      </c>
      <c r="K72" s="26">
        <v>15</v>
      </c>
      <c r="L72" s="26">
        <v>14</v>
      </c>
      <c r="M72" s="26">
        <v>9</v>
      </c>
      <c r="N72" s="26">
        <v>14.67</v>
      </c>
      <c r="O72" s="26">
        <v>15</v>
      </c>
      <c r="P72" s="108">
        <v>16.14</v>
      </c>
      <c r="Q72" s="26">
        <v>15</v>
      </c>
      <c r="R72" s="26">
        <v>13</v>
      </c>
      <c r="S72" s="26">
        <v>12.33</v>
      </c>
      <c r="T72" s="26">
        <v>15</v>
      </c>
      <c r="U72" s="26">
        <v>15.2</v>
      </c>
      <c r="V72" s="26">
        <v>14.6</v>
      </c>
      <c r="W72" s="26">
        <v>10</v>
      </c>
      <c r="X72" s="108">
        <v>15.6</v>
      </c>
      <c r="Y72" s="26">
        <v>14.5</v>
      </c>
    </row>
    <row r="73" spans="1:38" ht="27.75" customHeight="1" x14ac:dyDescent="0.4">
      <c r="A73" s="25"/>
      <c r="B73" s="1" t="s">
        <v>17</v>
      </c>
      <c r="C73" s="26">
        <f t="shared" ref="C73:Y73" si="27">IF(C72&gt;0,C71/C72,0)</f>
        <v>12.6875</v>
      </c>
      <c r="D73" s="26">
        <f t="shared" si="27"/>
        <v>13.510273972602739</v>
      </c>
      <c r="E73" s="26">
        <f t="shared" si="27"/>
        <v>12.922077922077921</v>
      </c>
      <c r="F73" s="26">
        <f t="shared" si="27"/>
        <v>13.15</v>
      </c>
      <c r="G73" s="27">
        <f t="shared" si="27"/>
        <v>0</v>
      </c>
      <c r="H73" s="26">
        <f t="shared" si="27"/>
        <v>11.822222222222223</v>
      </c>
      <c r="I73" s="26">
        <f t="shared" si="27"/>
        <v>9.6666666666666679</v>
      </c>
      <c r="J73" s="26">
        <f t="shared" si="27"/>
        <v>7.9</v>
      </c>
      <c r="K73" s="26">
        <f t="shared" si="27"/>
        <v>9.6333333333333329</v>
      </c>
      <c r="L73" s="26">
        <f t="shared" si="27"/>
        <v>11.071428571428571</v>
      </c>
      <c r="M73" s="26">
        <f t="shared" si="27"/>
        <v>6.4444444444444446</v>
      </c>
      <c r="N73" s="26">
        <f t="shared" si="27"/>
        <v>9.6568961599636438</v>
      </c>
      <c r="O73" s="26">
        <f t="shared" si="27"/>
        <v>14.833333333333334</v>
      </c>
      <c r="P73" s="108">
        <f t="shared" si="27"/>
        <v>11.400247831474596</v>
      </c>
      <c r="Q73" s="26">
        <f t="shared" si="27"/>
        <v>10.888888888888889</v>
      </c>
      <c r="R73" s="26">
        <f t="shared" si="27"/>
        <v>5.615384615384615</v>
      </c>
      <c r="S73" s="26">
        <f t="shared" si="27"/>
        <v>8.8402270884022709</v>
      </c>
      <c r="T73" s="26">
        <f t="shared" si="27"/>
        <v>14.05</v>
      </c>
      <c r="U73" s="26">
        <f t="shared" si="27"/>
        <v>13.338815789473685</v>
      </c>
      <c r="V73" s="26">
        <f t="shared" si="27"/>
        <v>13.356164383561644</v>
      </c>
      <c r="W73" s="26">
        <f t="shared" si="27"/>
        <v>8.75</v>
      </c>
      <c r="X73" s="108">
        <f t="shared" si="27"/>
        <v>13.605769230769232</v>
      </c>
      <c r="Y73" s="26">
        <f t="shared" si="27"/>
        <v>12.419540229885058</v>
      </c>
      <c r="Z73" s="2">
        <f>SUM(C73:Y73)</f>
        <v>245.56321468391286</v>
      </c>
      <c r="AB73" s="1" t="s">
        <v>18</v>
      </c>
      <c r="AD73" s="1">
        <f>AF71/11.5</f>
        <v>25.362318840579711</v>
      </c>
    </row>
    <row r="74" spans="1:38" ht="27.75" customHeight="1" x14ac:dyDescent="0.4">
      <c r="A74" s="25"/>
      <c r="B74" s="1" t="s">
        <v>19</v>
      </c>
      <c r="C74" s="26">
        <f t="shared" ref="C74:Y74" si="28">IF(C72&gt;0,11.5,0)</f>
        <v>11.5</v>
      </c>
      <c r="D74" s="26">
        <f t="shared" si="28"/>
        <v>11.5</v>
      </c>
      <c r="E74" s="26">
        <f t="shared" si="28"/>
        <v>11.5</v>
      </c>
      <c r="F74" s="26">
        <f t="shared" si="28"/>
        <v>11.5</v>
      </c>
      <c r="G74" s="27">
        <f t="shared" si="28"/>
        <v>0</v>
      </c>
      <c r="H74" s="26">
        <f t="shared" si="28"/>
        <v>11.5</v>
      </c>
      <c r="I74" s="26">
        <f t="shared" si="28"/>
        <v>11.5</v>
      </c>
      <c r="J74" s="26">
        <f t="shared" si="28"/>
        <v>11.5</v>
      </c>
      <c r="K74" s="26">
        <f t="shared" si="28"/>
        <v>11.5</v>
      </c>
      <c r="L74" s="26">
        <f t="shared" si="28"/>
        <v>11.5</v>
      </c>
      <c r="M74" s="26">
        <f t="shared" si="28"/>
        <v>11.5</v>
      </c>
      <c r="N74" s="26">
        <f t="shared" si="28"/>
        <v>11.5</v>
      </c>
      <c r="O74" s="26">
        <f t="shared" si="28"/>
        <v>11.5</v>
      </c>
      <c r="P74" s="108">
        <f t="shared" si="28"/>
        <v>11.5</v>
      </c>
      <c r="Q74" s="26">
        <f t="shared" si="28"/>
        <v>11.5</v>
      </c>
      <c r="R74" s="26">
        <f t="shared" si="28"/>
        <v>11.5</v>
      </c>
      <c r="S74" s="26">
        <f t="shared" si="28"/>
        <v>11.5</v>
      </c>
      <c r="T74" s="26">
        <f t="shared" si="28"/>
        <v>11.5</v>
      </c>
      <c r="U74" s="26">
        <f t="shared" si="28"/>
        <v>11.5</v>
      </c>
      <c r="V74" s="26">
        <f t="shared" si="28"/>
        <v>11.5</v>
      </c>
      <c r="W74" s="26">
        <f t="shared" si="28"/>
        <v>11.5</v>
      </c>
      <c r="X74" s="108">
        <f t="shared" si="28"/>
        <v>11.5</v>
      </c>
      <c r="Y74" s="26">
        <f t="shared" si="28"/>
        <v>11.5</v>
      </c>
      <c r="Z74" s="2">
        <f>SUM(C74:Y74)</f>
        <v>253</v>
      </c>
      <c r="AB74" s="1" t="s">
        <v>20</v>
      </c>
      <c r="AD74" s="1">
        <f>Z75*AD73</f>
        <v>-188.61412033554316</v>
      </c>
    </row>
    <row r="75" spans="1:38" ht="27.75" customHeight="1" x14ac:dyDescent="0.4">
      <c r="A75" s="28"/>
      <c r="B75" s="29" t="s">
        <v>21</v>
      </c>
      <c r="C75" s="30">
        <f t="shared" ref="C75:Y75" si="29">IF(C72&gt;0,C73-C74,0)</f>
        <v>1.1875</v>
      </c>
      <c r="D75" s="30">
        <f t="shared" si="29"/>
        <v>2.0102739726027394</v>
      </c>
      <c r="E75" s="30">
        <f t="shared" si="29"/>
        <v>1.4220779220779214</v>
      </c>
      <c r="F75" s="30">
        <f t="shared" si="29"/>
        <v>1.6500000000000004</v>
      </c>
      <c r="G75" s="31">
        <f t="shared" si="29"/>
        <v>0</v>
      </c>
      <c r="H75" s="30">
        <f t="shared" si="29"/>
        <v>0.32222222222222285</v>
      </c>
      <c r="I75" s="30">
        <f t="shared" si="29"/>
        <v>-1.8333333333333321</v>
      </c>
      <c r="J75" s="30">
        <f t="shared" si="29"/>
        <v>-3.5999999999999996</v>
      </c>
      <c r="K75" s="30">
        <f t="shared" si="29"/>
        <v>-1.8666666666666671</v>
      </c>
      <c r="L75" s="30">
        <f t="shared" si="29"/>
        <v>-0.42857142857142883</v>
      </c>
      <c r="M75" s="30">
        <f t="shared" si="29"/>
        <v>-5.0555555555555554</v>
      </c>
      <c r="N75" s="30">
        <f t="shared" si="29"/>
        <v>-1.8431038400363562</v>
      </c>
      <c r="O75" s="30">
        <f t="shared" si="29"/>
        <v>3.3333333333333339</v>
      </c>
      <c r="P75" s="109">
        <f t="shared" si="29"/>
        <v>-9.9752168525403917E-2</v>
      </c>
      <c r="Q75" s="30">
        <f t="shared" si="29"/>
        <v>-0.61111111111111072</v>
      </c>
      <c r="R75" s="30">
        <f t="shared" si="29"/>
        <v>-5.884615384615385</v>
      </c>
      <c r="S75" s="30">
        <f t="shared" si="29"/>
        <v>-2.6597729115977291</v>
      </c>
      <c r="T75" s="30">
        <f t="shared" si="29"/>
        <v>2.5500000000000007</v>
      </c>
      <c r="U75" s="30">
        <f t="shared" si="29"/>
        <v>1.838815789473685</v>
      </c>
      <c r="V75" s="30">
        <f t="shared" si="29"/>
        <v>1.8561643835616444</v>
      </c>
      <c r="W75" s="30">
        <f t="shared" si="29"/>
        <v>-2.75</v>
      </c>
      <c r="X75" s="109">
        <f t="shared" si="29"/>
        <v>2.1057692307692317</v>
      </c>
      <c r="Y75" s="30">
        <f t="shared" si="29"/>
        <v>0.91954022988505812</v>
      </c>
      <c r="Z75" s="2">
        <f>SUM(C75:Y75)</f>
        <v>-7.4367853160871302</v>
      </c>
      <c r="AE75">
        <f>AC75/175</f>
        <v>0</v>
      </c>
    </row>
    <row r="76" spans="1:38" ht="27.75" customHeight="1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38" ht="27.75" customHeight="1" x14ac:dyDescent="0.4">
      <c r="B77" s="1" t="s">
        <v>38</v>
      </c>
      <c r="C77" s="3">
        <v>1.04</v>
      </c>
      <c r="D77" s="4">
        <v>2.04</v>
      </c>
      <c r="E77" s="4">
        <v>3.04</v>
      </c>
      <c r="F77" s="4">
        <v>4.04</v>
      </c>
      <c r="G77" s="4">
        <v>6.04</v>
      </c>
      <c r="H77" s="4">
        <v>7.04</v>
      </c>
      <c r="I77" s="4">
        <v>8.0399999999999991</v>
      </c>
      <c r="J77" s="4">
        <v>9.0399999999999991</v>
      </c>
      <c r="K77" s="4">
        <v>10.039999999999999</v>
      </c>
      <c r="L77" s="5">
        <v>14.04</v>
      </c>
      <c r="M77" s="4">
        <v>16.04</v>
      </c>
      <c r="N77" s="4">
        <v>17.04</v>
      </c>
      <c r="O77" s="4">
        <v>18.04</v>
      </c>
      <c r="P77" s="4">
        <v>20.04</v>
      </c>
      <c r="Q77" s="4">
        <v>21.04</v>
      </c>
      <c r="R77" s="4">
        <v>22.04</v>
      </c>
      <c r="S77" s="4">
        <v>23.04</v>
      </c>
      <c r="T77" s="4">
        <v>24.04</v>
      </c>
      <c r="U77" s="4">
        <v>25.04</v>
      </c>
      <c r="V77" s="4">
        <v>27.04</v>
      </c>
      <c r="W77" s="4">
        <v>28.04</v>
      </c>
      <c r="X77" s="6">
        <v>29.04</v>
      </c>
      <c r="Y77" s="8">
        <v>30.04</v>
      </c>
      <c r="Z77" s="9" t="s">
        <v>1</v>
      </c>
      <c r="AA77" s="10" t="s">
        <v>2</v>
      </c>
      <c r="AB77" s="11" t="s">
        <v>3</v>
      </c>
      <c r="AC77" s="12" t="s">
        <v>4</v>
      </c>
      <c r="AD77" s="12" t="s">
        <v>5</v>
      </c>
      <c r="AE77" s="10" t="s">
        <v>6</v>
      </c>
      <c r="AF77" s="10" t="s">
        <v>7</v>
      </c>
      <c r="AG77" s="13" t="s">
        <v>8</v>
      </c>
      <c r="AH77" s="10" t="s">
        <v>9</v>
      </c>
      <c r="AI77" s="10" t="s">
        <v>10</v>
      </c>
      <c r="AJ77" s="14" t="s">
        <v>11</v>
      </c>
      <c r="AK77" s="10" t="s">
        <v>12</v>
      </c>
      <c r="AL77" s="104" t="s">
        <v>13</v>
      </c>
    </row>
    <row r="78" spans="1:38" ht="39.75" customHeight="1" x14ac:dyDescent="0.6">
      <c r="A78" s="15">
        <v>9</v>
      </c>
      <c r="B78" s="16" t="s">
        <v>39</v>
      </c>
      <c r="C78" s="17">
        <v>203</v>
      </c>
      <c r="D78" s="17">
        <v>197.25</v>
      </c>
      <c r="E78" s="18">
        <v>199</v>
      </c>
      <c r="F78" s="17">
        <v>197.25</v>
      </c>
      <c r="G78" s="17">
        <v>186</v>
      </c>
      <c r="H78" s="17">
        <f>166+68/6</f>
        <v>177.33333333333334</v>
      </c>
      <c r="I78" s="17">
        <f>149+5/6</f>
        <v>149.83333333333334</v>
      </c>
      <c r="J78" s="17">
        <v>118.5</v>
      </c>
      <c r="K78" s="17">
        <v>144.5</v>
      </c>
      <c r="L78" s="19">
        <v>0</v>
      </c>
      <c r="M78" s="17">
        <v>58</v>
      </c>
      <c r="N78" s="17">
        <f>138.5+19/6</f>
        <v>141.66666666666666</v>
      </c>
      <c r="O78" s="17">
        <v>222.5</v>
      </c>
      <c r="P78" s="17">
        <v>184</v>
      </c>
      <c r="Q78" s="17">
        <f>160+20/6</f>
        <v>163.33333333333334</v>
      </c>
      <c r="R78" s="17">
        <v>73</v>
      </c>
      <c r="S78" s="17">
        <v>109</v>
      </c>
      <c r="T78" s="17">
        <v>210.75</v>
      </c>
      <c r="U78" s="17">
        <v>202.75</v>
      </c>
      <c r="V78" s="17">
        <v>195</v>
      </c>
      <c r="W78" s="17">
        <v>87.5</v>
      </c>
      <c r="X78" s="17">
        <v>212.25</v>
      </c>
      <c r="Y78" s="17">
        <f>176.25+23/6</f>
        <v>180.08333333333334</v>
      </c>
      <c r="Z78" s="20">
        <f>SUM(C78:Y78)</f>
        <v>3612.5</v>
      </c>
      <c r="AA78" s="21">
        <f>COUNTIF(C79:Y79,"&gt;0")</f>
        <v>22</v>
      </c>
      <c r="AB78" s="21">
        <f>AA78*AB4</f>
        <v>3740</v>
      </c>
      <c r="AC78" s="21">
        <f>Z78-AB78</f>
        <v>-127.5</v>
      </c>
      <c r="AD78" s="21">
        <f>AD4</f>
        <v>24</v>
      </c>
      <c r="AE78" s="21">
        <f>AC78/175</f>
        <v>-0.72857142857142854</v>
      </c>
      <c r="AF78" s="21">
        <f>AH78/AD78</f>
        <v>375</v>
      </c>
      <c r="AG78" s="22">
        <f>AF78*AE78</f>
        <v>-273.21428571428572</v>
      </c>
      <c r="AH78" s="21">
        <v>9000</v>
      </c>
      <c r="AI78" s="23">
        <f>AH78+AG78</f>
        <v>8726.7857142857138</v>
      </c>
      <c r="AJ78" s="16" t="s">
        <v>39</v>
      </c>
      <c r="AK78" s="47"/>
      <c r="AL78" s="47"/>
    </row>
    <row r="79" spans="1:38" ht="27.75" customHeight="1" x14ac:dyDescent="0.4">
      <c r="A79" s="25"/>
      <c r="B79" s="1" t="s">
        <v>16</v>
      </c>
      <c r="C79" s="26">
        <v>16</v>
      </c>
      <c r="D79" s="26">
        <v>14.6</v>
      </c>
      <c r="E79" s="26">
        <v>15.4</v>
      </c>
      <c r="F79" s="26">
        <v>15</v>
      </c>
      <c r="G79" s="26">
        <v>14.4</v>
      </c>
      <c r="H79" s="26">
        <v>15</v>
      </c>
      <c r="I79" s="26">
        <v>15.5</v>
      </c>
      <c r="J79" s="26">
        <v>15</v>
      </c>
      <c r="K79" s="26">
        <v>15</v>
      </c>
      <c r="L79" s="27">
        <v>0</v>
      </c>
      <c r="M79" s="26">
        <v>9</v>
      </c>
      <c r="N79" s="26">
        <v>14.67</v>
      </c>
      <c r="O79" s="26">
        <v>15</v>
      </c>
      <c r="P79" s="26">
        <v>16.14</v>
      </c>
      <c r="Q79" s="26">
        <v>15</v>
      </c>
      <c r="R79" s="26">
        <v>13</v>
      </c>
      <c r="S79" s="26">
        <v>12.33</v>
      </c>
      <c r="T79" s="26">
        <v>15</v>
      </c>
      <c r="U79" s="26">
        <v>15.2</v>
      </c>
      <c r="V79" s="26">
        <v>14.6</v>
      </c>
      <c r="W79" s="26">
        <v>10</v>
      </c>
      <c r="X79" s="26">
        <v>15.6</v>
      </c>
      <c r="Y79" s="26">
        <v>14.5</v>
      </c>
    </row>
    <row r="80" spans="1:38" ht="27.75" customHeight="1" x14ac:dyDescent="0.4">
      <c r="A80" s="25"/>
      <c r="B80" s="1" t="s">
        <v>17</v>
      </c>
      <c r="C80" s="26">
        <f t="shared" ref="C80:Y80" si="30">IF(C79&gt;0,C78/C79,0)</f>
        <v>12.6875</v>
      </c>
      <c r="D80" s="26">
        <f t="shared" si="30"/>
        <v>13.510273972602739</v>
      </c>
      <c r="E80" s="26">
        <f t="shared" si="30"/>
        <v>12.922077922077921</v>
      </c>
      <c r="F80" s="26">
        <f t="shared" si="30"/>
        <v>13.15</v>
      </c>
      <c r="G80" s="26">
        <f t="shared" si="30"/>
        <v>12.916666666666666</v>
      </c>
      <c r="H80" s="26">
        <f t="shared" si="30"/>
        <v>11.822222222222223</v>
      </c>
      <c r="I80" s="26">
        <f t="shared" si="30"/>
        <v>9.6666666666666679</v>
      </c>
      <c r="J80" s="26">
        <f t="shared" si="30"/>
        <v>7.9</v>
      </c>
      <c r="K80" s="26">
        <f t="shared" si="30"/>
        <v>9.6333333333333329</v>
      </c>
      <c r="L80" s="27">
        <f t="shared" si="30"/>
        <v>0</v>
      </c>
      <c r="M80" s="26">
        <f t="shared" si="30"/>
        <v>6.4444444444444446</v>
      </c>
      <c r="N80" s="26">
        <f t="shared" si="30"/>
        <v>9.6568961599636438</v>
      </c>
      <c r="O80" s="26">
        <f t="shared" si="30"/>
        <v>14.833333333333334</v>
      </c>
      <c r="P80" s="26">
        <f t="shared" si="30"/>
        <v>11.400247831474596</v>
      </c>
      <c r="Q80" s="26">
        <f t="shared" si="30"/>
        <v>10.888888888888889</v>
      </c>
      <c r="R80" s="26">
        <f t="shared" si="30"/>
        <v>5.615384615384615</v>
      </c>
      <c r="S80" s="26">
        <f t="shared" si="30"/>
        <v>8.8402270884022709</v>
      </c>
      <c r="T80" s="26">
        <f t="shared" si="30"/>
        <v>14.05</v>
      </c>
      <c r="U80" s="26">
        <f t="shared" si="30"/>
        <v>13.338815789473685</v>
      </c>
      <c r="V80" s="26">
        <f t="shared" si="30"/>
        <v>13.356164383561644</v>
      </c>
      <c r="W80" s="26">
        <f t="shared" si="30"/>
        <v>8.75</v>
      </c>
      <c r="X80" s="26">
        <f t="shared" si="30"/>
        <v>13.605769230769232</v>
      </c>
      <c r="Y80" s="26">
        <f t="shared" si="30"/>
        <v>12.419540229885058</v>
      </c>
      <c r="Z80" s="2">
        <f>SUM(C80:Y80)</f>
        <v>247.40845277915093</v>
      </c>
      <c r="AB80" s="1" t="s">
        <v>18</v>
      </c>
      <c r="AD80" s="1">
        <f>AF78/11.5</f>
        <v>32.608695652173914</v>
      </c>
    </row>
    <row r="81" spans="1:38" ht="27.75" customHeight="1" x14ac:dyDescent="0.4">
      <c r="A81" s="25"/>
      <c r="B81" s="1" t="s">
        <v>19</v>
      </c>
      <c r="C81" s="26">
        <f t="shared" ref="C81:Y81" si="31">IF(C79&gt;0,11.5,0)</f>
        <v>11.5</v>
      </c>
      <c r="D81" s="26">
        <f t="shared" si="31"/>
        <v>11.5</v>
      </c>
      <c r="E81" s="26">
        <f t="shared" si="31"/>
        <v>11.5</v>
      </c>
      <c r="F81" s="26">
        <f t="shared" si="31"/>
        <v>11.5</v>
      </c>
      <c r="G81" s="26">
        <f t="shared" si="31"/>
        <v>11.5</v>
      </c>
      <c r="H81" s="26">
        <f t="shared" si="31"/>
        <v>11.5</v>
      </c>
      <c r="I81" s="26">
        <f t="shared" si="31"/>
        <v>11.5</v>
      </c>
      <c r="J81" s="26">
        <f t="shared" si="31"/>
        <v>11.5</v>
      </c>
      <c r="K81" s="26">
        <f t="shared" si="31"/>
        <v>11.5</v>
      </c>
      <c r="L81" s="27">
        <f t="shared" si="31"/>
        <v>0</v>
      </c>
      <c r="M81" s="26">
        <f t="shared" si="31"/>
        <v>11.5</v>
      </c>
      <c r="N81" s="26">
        <f t="shared" si="31"/>
        <v>11.5</v>
      </c>
      <c r="O81" s="26">
        <f t="shared" si="31"/>
        <v>11.5</v>
      </c>
      <c r="P81" s="26">
        <f t="shared" si="31"/>
        <v>11.5</v>
      </c>
      <c r="Q81" s="26">
        <f t="shared" si="31"/>
        <v>11.5</v>
      </c>
      <c r="R81" s="26">
        <f t="shared" si="31"/>
        <v>11.5</v>
      </c>
      <c r="S81" s="26">
        <f t="shared" si="31"/>
        <v>11.5</v>
      </c>
      <c r="T81" s="26">
        <f t="shared" si="31"/>
        <v>11.5</v>
      </c>
      <c r="U81" s="26">
        <f t="shared" si="31"/>
        <v>11.5</v>
      </c>
      <c r="V81" s="26">
        <f t="shared" si="31"/>
        <v>11.5</v>
      </c>
      <c r="W81" s="26">
        <f t="shared" si="31"/>
        <v>11.5</v>
      </c>
      <c r="X81" s="26">
        <f t="shared" si="31"/>
        <v>11.5</v>
      </c>
      <c r="Y81" s="26">
        <f t="shared" si="31"/>
        <v>11.5</v>
      </c>
      <c r="Z81" s="2">
        <f>SUM(C81:Y81)</f>
        <v>253</v>
      </c>
      <c r="AB81" s="1" t="s">
        <v>20</v>
      </c>
      <c r="AD81" s="1">
        <f>Z82*AD80</f>
        <v>-182.33306154942508</v>
      </c>
    </row>
    <row r="82" spans="1:38" ht="27.75" customHeight="1" x14ac:dyDescent="0.4">
      <c r="A82" s="28"/>
      <c r="B82" s="29" t="s">
        <v>21</v>
      </c>
      <c r="C82" s="30">
        <f t="shared" ref="C82:Y82" si="32">IF(C79&gt;0,C80-C81,0)</f>
        <v>1.1875</v>
      </c>
      <c r="D82" s="30">
        <f t="shared" si="32"/>
        <v>2.0102739726027394</v>
      </c>
      <c r="E82" s="30">
        <f t="shared" si="32"/>
        <v>1.4220779220779214</v>
      </c>
      <c r="F82" s="30">
        <f t="shared" si="32"/>
        <v>1.6500000000000004</v>
      </c>
      <c r="G82" s="30">
        <f t="shared" si="32"/>
        <v>1.4166666666666661</v>
      </c>
      <c r="H82" s="30">
        <f t="shared" si="32"/>
        <v>0.32222222222222285</v>
      </c>
      <c r="I82" s="30">
        <f t="shared" si="32"/>
        <v>-1.8333333333333321</v>
      </c>
      <c r="J82" s="30">
        <f t="shared" si="32"/>
        <v>-3.5999999999999996</v>
      </c>
      <c r="K82" s="30">
        <f t="shared" si="32"/>
        <v>-1.8666666666666671</v>
      </c>
      <c r="L82" s="31">
        <f t="shared" si="32"/>
        <v>0</v>
      </c>
      <c r="M82" s="30">
        <f t="shared" si="32"/>
        <v>-5.0555555555555554</v>
      </c>
      <c r="N82" s="30">
        <f t="shared" si="32"/>
        <v>-1.8431038400363562</v>
      </c>
      <c r="O82" s="30">
        <f t="shared" si="32"/>
        <v>3.3333333333333339</v>
      </c>
      <c r="P82" s="30">
        <f t="shared" si="32"/>
        <v>-9.9752168525403917E-2</v>
      </c>
      <c r="Q82" s="30">
        <f t="shared" si="32"/>
        <v>-0.61111111111111072</v>
      </c>
      <c r="R82" s="30">
        <f t="shared" si="32"/>
        <v>-5.884615384615385</v>
      </c>
      <c r="S82" s="30">
        <f t="shared" si="32"/>
        <v>-2.6597729115977291</v>
      </c>
      <c r="T82" s="30">
        <f t="shared" si="32"/>
        <v>2.5500000000000007</v>
      </c>
      <c r="U82" s="30">
        <f t="shared" si="32"/>
        <v>1.838815789473685</v>
      </c>
      <c r="V82" s="30">
        <f t="shared" si="32"/>
        <v>1.8561643835616444</v>
      </c>
      <c r="W82" s="30">
        <f t="shared" si="32"/>
        <v>-2.75</v>
      </c>
      <c r="X82" s="30">
        <f t="shared" si="32"/>
        <v>2.1057692307692317</v>
      </c>
      <c r="Y82" s="30">
        <f t="shared" si="32"/>
        <v>0.91954022988505812</v>
      </c>
      <c r="Z82" s="2">
        <f>SUM(C82:Y82)</f>
        <v>-5.5915472208490353</v>
      </c>
      <c r="AE82">
        <f>AC82/175</f>
        <v>0</v>
      </c>
    </row>
    <row r="83" spans="1:38" ht="27.75" customHeight="1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38" ht="27.75" customHeight="1" x14ac:dyDescent="0.3"/>
    <row r="85" spans="1:38" ht="30.75" customHeight="1" x14ac:dyDescent="0.4">
      <c r="B85" s="1" t="s">
        <v>41</v>
      </c>
      <c r="C85" s="3">
        <v>1.04</v>
      </c>
      <c r="D85" s="4">
        <v>2.04</v>
      </c>
      <c r="E85" s="4">
        <v>3.04</v>
      </c>
      <c r="F85" s="4">
        <v>4.04</v>
      </c>
      <c r="G85" s="4">
        <v>6.04</v>
      </c>
      <c r="H85" s="4">
        <v>7.04</v>
      </c>
      <c r="I85" s="4">
        <v>8.0399999999999991</v>
      </c>
      <c r="J85" s="4">
        <v>9.0399999999999991</v>
      </c>
      <c r="K85" s="4">
        <v>10.039999999999999</v>
      </c>
      <c r="L85" s="4">
        <v>14.04</v>
      </c>
      <c r="M85" s="4">
        <v>16.04</v>
      </c>
      <c r="N85" s="4">
        <v>17.04</v>
      </c>
      <c r="O85" s="4">
        <v>18.04</v>
      </c>
      <c r="P85" s="4">
        <v>20.04</v>
      </c>
      <c r="Q85" s="4">
        <v>21.04</v>
      </c>
      <c r="R85" s="4">
        <v>22.04</v>
      </c>
      <c r="S85" s="5">
        <v>23.04</v>
      </c>
      <c r="T85" s="4">
        <v>24.04</v>
      </c>
      <c r="U85" s="4">
        <v>25.04</v>
      </c>
      <c r="V85" s="4">
        <v>27.04</v>
      </c>
      <c r="W85" s="4">
        <v>28.04</v>
      </c>
      <c r="X85" s="6">
        <v>29.04</v>
      </c>
      <c r="Y85" s="8">
        <v>30.04</v>
      </c>
      <c r="Z85" s="9" t="s">
        <v>1</v>
      </c>
      <c r="AA85" s="10" t="s">
        <v>2</v>
      </c>
      <c r="AB85" s="11" t="s">
        <v>3</v>
      </c>
      <c r="AC85" s="12" t="s">
        <v>4</v>
      </c>
      <c r="AD85" s="12" t="s">
        <v>5</v>
      </c>
      <c r="AE85" s="10" t="s">
        <v>6</v>
      </c>
      <c r="AF85" s="10" t="s">
        <v>7</v>
      </c>
      <c r="AG85" s="13" t="s">
        <v>8</v>
      </c>
      <c r="AH85" s="10" t="s">
        <v>9</v>
      </c>
      <c r="AI85" s="10" t="s">
        <v>10</v>
      </c>
      <c r="AJ85" s="14" t="s">
        <v>11</v>
      </c>
      <c r="AK85" s="10" t="s">
        <v>12</v>
      </c>
      <c r="AL85" s="104" t="s">
        <v>13</v>
      </c>
    </row>
    <row r="86" spans="1:38" ht="39.75" customHeight="1" x14ac:dyDescent="0.6">
      <c r="A86" s="15">
        <v>10</v>
      </c>
      <c r="B86" s="16" t="s">
        <v>42</v>
      </c>
      <c r="C86" s="17">
        <v>203</v>
      </c>
      <c r="D86" s="17">
        <v>197.25</v>
      </c>
      <c r="E86" s="18">
        <v>199</v>
      </c>
      <c r="F86" s="17">
        <v>197.25</v>
      </c>
      <c r="G86" s="17">
        <v>186</v>
      </c>
      <c r="H86" s="17">
        <f>166+68/6</f>
        <v>177.33333333333334</v>
      </c>
      <c r="I86" s="17">
        <f>149+5/6</f>
        <v>149.83333333333334</v>
      </c>
      <c r="J86" s="17">
        <v>118.5</v>
      </c>
      <c r="K86" s="17">
        <v>144.5</v>
      </c>
      <c r="L86" s="17">
        <f>154+6/6</f>
        <v>155</v>
      </c>
      <c r="M86" s="17">
        <v>58</v>
      </c>
      <c r="N86" s="17">
        <f>138.5+19/6</f>
        <v>141.66666666666666</v>
      </c>
      <c r="O86" s="17">
        <v>222.5</v>
      </c>
      <c r="P86" s="17">
        <v>184</v>
      </c>
      <c r="Q86" s="17">
        <f>160+20/6</f>
        <v>163.33333333333334</v>
      </c>
      <c r="R86" s="17">
        <v>73</v>
      </c>
      <c r="S86" s="19">
        <v>0</v>
      </c>
      <c r="T86" s="17">
        <v>210.75</v>
      </c>
      <c r="U86" s="17">
        <v>202.75</v>
      </c>
      <c r="V86" s="17">
        <v>195</v>
      </c>
      <c r="W86" s="17">
        <v>87.5</v>
      </c>
      <c r="X86" s="17">
        <v>212.25</v>
      </c>
      <c r="Y86" s="17">
        <f>176.25+23/6</f>
        <v>180.08333333333334</v>
      </c>
      <c r="Z86" s="20">
        <f>SUM(C86:Y86)</f>
        <v>3658.5</v>
      </c>
      <c r="AA86" s="21">
        <f>COUNTIF(C87:Y87,"&gt;0")</f>
        <v>22</v>
      </c>
      <c r="AB86" s="21">
        <f>AA86*AB4</f>
        <v>3740</v>
      </c>
      <c r="AC86" s="21">
        <f>Z86-AB86</f>
        <v>-81.5</v>
      </c>
      <c r="AD86" s="21">
        <f>AD4</f>
        <v>24</v>
      </c>
      <c r="AE86" s="21">
        <f>AC86/175</f>
        <v>-0.46571428571428569</v>
      </c>
      <c r="AF86" s="21">
        <f>AH86/AD86</f>
        <v>312.5</v>
      </c>
      <c r="AG86" s="22">
        <f>AF86*AE86</f>
        <v>-145.53571428571428</v>
      </c>
      <c r="AH86" s="21">
        <v>7500</v>
      </c>
      <c r="AI86" s="23">
        <f>AH86+AG86</f>
        <v>7354.4642857142853</v>
      </c>
      <c r="AJ86" s="16" t="s">
        <v>42</v>
      </c>
      <c r="AK86" s="37"/>
      <c r="AL86" s="37"/>
    </row>
    <row r="87" spans="1:38" ht="27.75" customHeight="1" x14ac:dyDescent="0.4">
      <c r="A87" s="25"/>
      <c r="B87" s="1" t="s">
        <v>16</v>
      </c>
      <c r="C87" s="26">
        <v>16</v>
      </c>
      <c r="D87" s="26">
        <v>14.6</v>
      </c>
      <c r="E87" s="26">
        <v>15.4</v>
      </c>
      <c r="F87" s="26">
        <v>15</v>
      </c>
      <c r="G87" s="26">
        <v>14.4</v>
      </c>
      <c r="H87" s="26">
        <v>15</v>
      </c>
      <c r="I87" s="26">
        <v>15.5</v>
      </c>
      <c r="J87" s="26">
        <v>15</v>
      </c>
      <c r="K87" s="26">
        <v>15</v>
      </c>
      <c r="L87" s="26">
        <v>14</v>
      </c>
      <c r="M87" s="26">
        <v>9</v>
      </c>
      <c r="N87" s="26">
        <v>14.67</v>
      </c>
      <c r="O87" s="26">
        <v>15</v>
      </c>
      <c r="P87" s="26">
        <v>16.14</v>
      </c>
      <c r="Q87" s="26">
        <v>15</v>
      </c>
      <c r="R87" s="26">
        <v>13</v>
      </c>
      <c r="S87" s="27">
        <v>0</v>
      </c>
      <c r="T87" s="26">
        <v>15</v>
      </c>
      <c r="U87" s="26">
        <v>15.2</v>
      </c>
      <c r="V87" s="26">
        <v>14.6</v>
      </c>
      <c r="W87" s="26">
        <v>10</v>
      </c>
      <c r="X87" s="26">
        <v>15.6</v>
      </c>
      <c r="Y87" s="26">
        <v>14.5</v>
      </c>
    </row>
    <row r="88" spans="1:38" ht="27.75" customHeight="1" x14ac:dyDescent="0.4">
      <c r="A88" s="25"/>
      <c r="B88" s="1" t="s">
        <v>17</v>
      </c>
      <c r="C88" s="26">
        <f t="shared" ref="C88:Y88" si="33">IF(C87&gt;0,C86/C87,0)</f>
        <v>12.6875</v>
      </c>
      <c r="D88" s="26">
        <f t="shared" si="33"/>
        <v>13.510273972602739</v>
      </c>
      <c r="E88" s="26">
        <f t="shared" si="33"/>
        <v>12.922077922077921</v>
      </c>
      <c r="F88" s="26">
        <f t="shared" si="33"/>
        <v>13.15</v>
      </c>
      <c r="G88" s="26">
        <f t="shared" si="33"/>
        <v>12.916666666666666</v>
      </c>
      <c r="H88" s="26">
        <f t="shared" si="33"/>
        <v>11.822222222222223</v>
      </c>
      <c r="I88" s="26">
        <f t="shared" si="33"/>
        <v>9.6666666666666679</v>
      </c>
      <c r="J88" s="26">
        <f t="shared" si="33"/>
        <v>7.9</v>
      </c>
      <c r="K88" s="26">
        <f t="shared" si="33"/>
        <v>9.6333333333333329</v>
      </c>
      <c r="L88" s="26">
        <f t="shared" si="33"/>
        <v>11.071428571428571</v>
      </c>
      <c r="M88" s="26">
        <f t="shared" si="33"/>
        <v>6.4444444444444446</v>
      </c>
      <c r="N88" s="26">
        <f t="shared" si="33"/>
        <v>9.6568961599636438</v>
      </c>
      <c r="O88" s="26">
        <f t="shared" si="33"/>
        <v>14.833333333333334</v>
      </c>
      <c r="P88" s="26">
        <f t="shared" si="33"/>
        <v>11.400247831474596</v>
      </c>
      <c r="Q88" s="26">
        <f t="shared" si="33"/>
        <v>10.888888888888889</v>
      </c>
      <c r="R88" s="26">
        <f t="shared" si="33"/>
        <v>5.615384615384615</v>
      </c>
      <c r="S88" s="27">
        <f t="shared" si="33"/>
        <v>0</v>
      </c>
      <c r="T88" s="26">
        <f t="shared" si="33"/>
        <v>14.05</v>
      </c>
      <c r="U88" s="26">
        <f t="shared" si="33"/>
        <v>13.338815789473685</v>
      </c>
      <c r="V88" s="26">
        <f t="shared" si="33"/>
        <v>13.356164383561644</v>
      </c>
      <c r="W88" s="26">
        <f t="shared" si="33"/>
        <v>8.75</v>
      </c>
      <c r="X88" s="26">
        <f t="shared" si="33"/>
        <v>13.605769230769232</v>
      </c>
      <c r="Y88" s="26">
        <f t="shared" si="33"/>
        <v>12.419540229885058</v>
      </c>
      <c r="Z88" s="2">
        <f>SUM(C88:Y88)</f>
        <v>249.63965426217726</v>
      </c>
      <c r="AB88" s="1" t="s">
        <v>18</v>
      </c>
      <c r="AD88" s="1">
        <f>AF86/11.5</f>
        <v>27.173913043478262</v>
      </c>
    </row>
    <row r="89" spans="1:38" ht="27.75" customHeight="1" x14ac:dyDescent="0.4">
      <c r="A89" s="25"/>
      <c r="B89" s="1" t="s">
        <v>19</v>
      </c>
      <c r="C89" s="26">
        <f t="shared" ref="C89:Y89" si="34">IF(C87&gt;0,11.5,0)</f>
        <v>11.5</v>
      </c>
      <c r="D89" s="26">
        <f t="shared" si="34"/>
        <v>11.5</v>
      </c>
      <c r="E89" s="26">
        <f t="shared" si="34"/>
        <v>11.5</v>
      </c>
      <c r="F89" s="26">
        <f t="shared" si="34"/>
        <v>11.5</v>
      </c>
      <c r="G89" s="26">
        <f t="shared" si="34"/>
        <v>11.5</v>
      </c>
      <c r="H89" s="26">
        <f t="shared" si="34"/>
        <v>11.5</v>
      </c>
      <c r="I89" s="26">
        <f t="shared" si="34"/>
        <v>11.5</v>
      </c>
      <c r="J89" s="26">
        <f t="shared" si="34"/>
        <v>11.5</v>
      </c>
      <c r="K89" s="26">
        <f t="shared" si="34"/>
        <v>11.5</v>
      </c>
      <c r="L89" s="26">
        <f t="shared" si="34"/>
        <v>11.5</v>
      </c>
      <c r="M89" s="26">
        <f t="shared" si="34"/>
        <v>11.5</v>
      </c>
      <c r="N89" s="26">
        <f t="shared" si="34"/>
        <v>11.5</v>
      </c>
      <c r="O89" s="26">
        <f t="shared" si="34"/>
        <v>11.5</v>
      </c>
      <c r="P89" s="26">
        <f t="shared" si="34"/>
        <v>11.5</v>
      </c>
      <c r="Q89" s="26">
        <f t="shared" si="34"/>
        <v>11.5</v>
      </c>
      <c r="R89" s="26">
        <f t="shared" si="34"/>
        <v>11.5</v>
      </c>
      <c r="S89" s="27">
        <f t="shared" si="34"/>
        <v>0</v>
      </c>
      <c r="T89" s="26">
        <f t="shared" si="34"/>
        <v>11.5</v>
      </c>
      <c r="U89" s="26">
        <f t="shared" si="34"/>
        <v>11.5</v>
      </c>
      <c r="V89" s="26">
        <f t="shared" si="34"/>
        <v>11.5</v>
      </c>
      <c r="W89" s="26">
        <f t="shared" si="34"/>
        <v>11.5</v>
      </c>
      <c r="X89" s="26">
        <f t="shared" si="34"/>
        <v>11.5</v>
      </c>
      <c r="Y89" s="26">
        <f t="shared" si="34"/>
        <v>11.5</v>
      </c>
      <c r="Z89" s="2">
        <f>SUM(C89:Y89)</f>
        <v>253</v>
      </c>
      <c r="AB89" s="1" t="s">
        <v>20</v>
      </c>
      <c r="AD89" s="1">
        <f>Z90*AD88</f>
        <v>-91.313742875617805</v>
      </c>
    </row>
    <row r="90" spans="1:38" ht="27.75" customHeight="1" x14ac:dyDescent="0.4">
      <c r="A90" s="28"/>
      <c r="B90" s="29" t="s">
        <v>21</v>
      </c>
      <c r="C90" s="30">
        <f t="shared" ref="C90:Y90" si="35">IF(C87&gt;0,C88-C89,0)</f>
        <v>1.1875</v>
      </c>
      <c r="D90" s="30">
        <f t="shared" si="35"/>
        <v>2.0102739726027394</v>
      </c>
      <c r="E90" s="30">
        <f t="shared" si="35"/>
        <v>1.4220779220779214</v>
      </c>
      <c r="F90" s="30">
        <f t="shared" si="35"/>
        <v>1.6500000000000004</v>
      </c>
      <c r="G90" s="30">
        <f t="shared" si="35"/>
        <v>1.4166666666666661</v>
      </c>
      <c r="H90" s="30">
        <f t="shared" si="35"/>
        <v>0.32222222222222285</v>
      </c>
      <c r="I90" s="30">
        <f t="shared" si="35"/>
        <v>-1.8333333333333321</v>
      </c>
      <c r="J90" s="30">
        <f t="shared" si="35"/>
        <v>-3.5999999999999996</v>
      </c>
      <c r="K90" s="30">
        <f t="shared" si="35"/>
        <v>-1.8666666666666671</v>
      </c>
      <c r="L90" s="30">
        <f t="shared" si="35"/>
        <v>-0.42857142857142883</v>
      </c>
      <c r="M90" s="30">
        <f t="shared" si="35"/>
        <v>-5.0555555555555554</v>
      </c>
      <c r="N90" s="30">
        <f t="shared" si="35"/>
        <v>-1.8431038400363562</v>
      </c>
      <c r="O90" s="30">
        <f t="shared" si="35"/>
        <v>3.3333333333333339</v>
      </c>
      <c r="P90" s="30">
        <f t="shared" si="35"/>
        <v>-9.9752168525403917E-2</v>
      </c>
      <c r="Q90" s="30">
        <f t="shared" si="35"/>
        <v>-0.61111111111111072</v>
      </c>
      <c r="R90" s="30">
        <f t="shared" si="35"/>
        <v>-5.884615384615385</v>
      </c>
      <c r="S90" s="31">
        <f t="shared" si="35"/>
        <v>0</v>
      </c>
      <c r="T90" s="30">
        <f t="shared" si="35"/>
        <v>2.5500000000000007</v>
      </c>
      <c r="U90" s="30">
        <f t="shared" si="35"/>
        <v>1.838815789473685</v>
      </c>
      <c r="V90" s="30">
        <f t="shared" si="35"/>
        <v>1.8561643835616444</v>
      </c>
      <c r="W90" s="30">
        <f t="shared" si="35"/>
        <v>-2.75</v>
      </c>
      <c r="X90" s="30">
        <f t="shared" si="35"/>
        <v>2.1057692307692317</v>
      </c>
      <c r="Y90" s="30">
        <f t="shared" si="35"/>
        <v>0.91954022988505812</v>
      </c>
      <c r="Z90" s="2">
        <f>SUM(C90:Y90)</f>
        <v>-3.360345737822735</v>
      </c>
      <c r="AE90">
        <f>AC90/175</f>
        <v>0</v>
      </c>
    </row>
    <row r="91" spans="1:38" ht="27.75" customHeight="1" x14ac:dyDescent="0.3"/>
    <row r="92" spans="1:38" ht="27.75" customHeight="1" x14ac:dyDescent="0.3"/>
    <row r="93" spans="1:38" ht="30.75" customHeight="1" x14ac:dyDescent="0.4">
      <c r="B93" s="1" t="s">
        <v>44</v>
      </c>
      <c r="C93" s="3">
        <v>1.04</v>
      </c>
      <c r="D93" s="4">
        <v>2.04</v>
      </c>
      <c r="E93" s="4">
        <v>3.04</v>
      </c>
      <c r="F93" s="4">
        <v>4.04</v>
      </c>
      <c r="G93" s="4">
        <v>6.04</v>
      </c>
      <c r="H93" s="4">
        <v>7.04</v>
      </c>
      <c r="I93" s="4">
        <v>8.0399999999999991</v>
      </c>
      <c r="J93" s="4">
        <v>9.0399999999999991</v>
      </c>
      <c r="K93" s="4">
        <v>10.039999999999999</v>
      </c>
      <c r="L93" s="4">
        <v>14.04</v>
      </c>
      <c r="M93" s="4">
        <v>16.04</v>
      </c>
      <c r="N93" s="4">
        <v>17.04</v>
      </c>
      <c r="O93" s="4">
        <v>18.04</v>
      </c>
      <c r="P93" s="4">
        <v>20.04</v>
      </c>
      <c r="Q93" s="4">
        <v>21.04</v>
      </c>
      <c r="R93" s="4">
        <v>22.04</v>
      </c>
      <c r="S93" s="4">
        <v>23.04</v>
      </c>
      <c r="T93" s="4">
        <v>24.04</v>
      </c>
      <c r="U93" s="4">
        <v>25.04</v>
      </c>
      <c r="V93" s="4">
        <v>27.04</v>
      </c>
      <c r="W93" s="4">
        <v>28.04</v>
      </c>
      <c r="X93" s="6">
        <v>29.04</v>
      </c>
      <c r="Y93" s="8">
        <v>30.04</v>
      </c>
      <c r="Z93" s="9" t="s">
        <v>1</v>
      </c>
      <c r="AA93" s="10" t="s">
        <v>2</v>
      </c>
      <c r="AB93" s="11" t="s">
        <v>3</v>
      </c>
      <c r="AC93" s="12" t="s">
        <v>4</v>
      </c>
      <c r="AD93" s="12" t="s">
        <v>5</v>
      </c>
      <c r="AE93" s="10" t="s">
        <v>6</v>
      </c>
      <c r="AF93" s="10" t="s">
        <v>7</v>
      </c>
      <c r="AG93" s="13" t="s">
        <v>8</v>
      </c>
      <c r="AH93" s="10" t="s">
        <v>9</v>
      </c>
      <c r="AI93" s="10" t="s">
        <v>10</v>
      </c>
      <c r="AJ93" s="14" t="s">
        <v>11</v>
      </c>
      <c r="AK93" s="10" t="s">
        <v>12</v>
      </c>
      <c r="AL93" s="104" t="s">
        <v>13</v>
      </c>
    </row>
    <row r="94" spans="1:38" ht="39.75" customHeight="1" x14ac:dyDescent="0.6">
      <c r="A94" s="15">
        <v>11</v>
      </c>
      <c r="B94" s="16" t="s">
        <v>45</v>
      </c>
      <c r="C94" s="17">
        <v>203</v>
      </c>
      <c r="D94" s="17">
        <v>197.25</v>
      </c>
      <c r="E94" s="17">
        <v>199</v>
      </c>
      <c r="F94" s="17">
        <v>197.25</v>
      </c>
      <c r="G94" s="17">
        <v>186</v>
      </c>
      <c r="H94" s="17">
        <f>166+68/6</f>
        <v>177.33333333333334</v>
      </c>
      <c r="I94" s="17">
        <f>149+5/6</f>
        <v>149.83333333333334</v>
      </c>
      <c r="J94" s="17">
        <v>118.5</v>
      </c>
      <c r="K94" s="17">
        <v>144.5</v>
      </c>
      <c r="L94" s="17">
        <f>154+6/6</f>
        <v>155</v>
      </c>
      <c r="M94" s="17">
        <v>58</v>
      </c>
      <c r="N94" s="17">
        <f>138.5+19/6</f>
        <v>141.66666666666666</v>
      </c>
      <c r="O94" s="17">
        <v>222.5</v>
      </c>
      <c r="P94" s="17">
        <v>184</v>
      </c>
      <c r="Q94" s="17">
        <f>160+20/6</f>
        <v>163.33333333333334</v>
      </c>
      <c r="R94" s="17">
        <v>73</v>
      </c>
      <c r="S94" s="17">
        <v>109</v>
      </c>
      <c r="T94" s="17">
        <v>210.75</v>
      </c>
      <c r="U94" s="17">
        <v>202.75</v>
      </c>
      <c r="V94" s="17">
        <v>195</v>
      </c>
      <c r="W94" s="17">
        <v>87.5</v>
      </c>
      <c r="X94" s="17">
        <v>212.25</v>
      </c>
      <c r="Y94" s="17">
        <f>176.25+23/6</f>
        <v>180.08333333333334</v>
      </c>
      <c r="Z94" s="20">
        <f>SUM(C94:Y94)</f>
        <v>3767.5</v>
      </c>
      <c r="AA94" s="21">
        <f>COUNTIF(C95:Y95,"&gt;0")</f>
        <v>23</v>
      </c>
      <c r="AB94" s="21">
        <f>AA94*AB4</f>
        <v>3910</v>
      </c>
      <c r="AC94" s="21">
        <f>Z94-AB94</f>
        <v>-142.5</v>
      </c>
      <c r="AD94" s="21">
        <f>AD4</f>
        <v>24</v>
      </c>
      <c r="AE94" s="21">
        <f>AC94/175</f>
        <v>-0.81428571428571428</v>
      </c>
      <c r="AF94" s="21">
        <f>AH94/AD94</f>
        <v>325</v>
      </c>
      <c r="AG94" s="22">
        <f>AF94*AE94</f>
        <v>-264.64285714285717</v>
      </c>
      <c r="AH94" s="21">
        <v>7800</v>
      </c>
      <c r="AI94" s="23">
        <f>AH94+AG94</f>
        <v>7535.3571428571431</v>
      </c>
      <c r="AJ94" s="16" t="s">
        <v>45</v>
      </c>
      <c r="AK94" s="37"/>
      <c r="AL94" s="37"/>
    </row>
    <row r="95" spans="1:38" ht="27.75" customHeight="1" x14ac:dyDescent="0.4">
      <c r="A95" s="25"/>
      <c r="B95" s="1" t="s">
        <v>16</v>
      </c>
      <c r="C95" s="26">
        <v>16</v>
      </c>
      <c r="D95" s="26">
        <v>14.6</v>
      </c>
      <c r="E95" s="26">
        <v>15.4</v>
      </c>
      <c r="F95" s="26">
        <v>15</v>
      </c>
      <c r="G95" s="26">
        <v>14.4</v>
      </c>
      <c r="H95" s="26">
        <v>15</v>
      </c>
      <c r="I95" s="26">
        <v>15.5</v>
      </c>
      <c r="J95" s="26">
        <v>15</v>
      </c>
      <c r="K95" s="26">
        <v>15</v>
      </c>
      <c r="L95" s="26">
        <v>14</v>
      </c>
      <c r="M95" s="26">
        <v>9</v>
      </c>
      <c r="N95" s="26">
        <v>14.67</v>
      </c>
      <c r="O95" s="26">
        <v>15</v>
      </c>
      <c r="P95" s="26">
        <v>16.14</v>
      </c>
      <c r="Q95" s="26">
        <v>15</v>
      </c>
      <c r="R95" s="26">
        <v>13</v>
      </c>
      <c r="S95" s="26">
        <v>12.33</v>
      </c>
      <c r="T95" s="26">
        <v>15</v>
      </c>
      <c r="U95" s="26">
        <v>15.2</v>
      </c>
      <c r="V95" s="26">
        <v>14.6</v>
      </c>
      <c r="W95" s="26">
        <v>10</v>
      </c>
      <c r="X95" s="26">
        <v>15.6</v>
      </c>
      <c r="Y95" s="26">
        <v>14.5</v>
      </c>
    </row>
    <row r="96" spans="1:38" ht="27.75" customHeight="1" x14ac:dyDescent="0.4">
      <c r="A96" s="25"/>
      <c r="B96" s="1" t="s">
        <v>17</v>
      </c>
      <c r="C96" s="26">
        <f t="shared" ref="C96:Y96" si="36">IF(C95&gt;0,C94/C95,0)</f>
        <v>12.6875</v>
      </c>
      <c r="D96" s="26">
        <f t="shared" si="36"/>
        <v>13.510273972602739</v>
      </c>
      <c r="E96" s="26">
        <f t="shared" si="36"/>
        <v>12.922077922077921</v>
      </c>
      <c r="F96" s="26">
        <f t="shared" si="36"/>
        <v>13.15</v>
      </c>
      <c r="G96" s="26">
        <f t="shared" si="36"/>
        <v>12.916666666666666</v>
      </c>
      <c r="H96" s="26">
        <f t="shared" si="36"/>
        <v>11.822222222222223</v>
      </c>
      <c r="I96" s="26">
        <f t="shared" si="36"/>
        <v>9.6666666666666679</v>
      </c>
      <c r="J96" s="26">
        <f t="shared" si="36"/>
        <v>7.9</v>
      </c>
      <c r="K96" s="26">
        <f t="shared" si="36"/>
        <v>9.6333333333333329</v>
      </c>
      <c r="L96" s="26">
        <f t="shared" si="36"/>
        <v>11.071428571428571</v>
      </c>
      <c r="M96" s="26">
        <f t="shared" si="36"/>
        <v>6.4444444444444446</v>
      </c>
      <c r="N96" s="26">
        <f t="shared" si="36"/>
        <v>9.6568961599636438</v>
      </c>
      <c r="O96" s="26">
        <f t="shared" si="36"/>
        <v>14.833333333333334</v>
      </c>
      <c r="P96" s="26">
        <f t="shared" si="36"/>
        <v>11.400247831474596</v>
      </c>
      <c r="Q96" s="26">
        <f t="shared" si="36"/>
        <v>10.888888888888889</v>
      </c>
      <c r="R96" s="26">
        <f t="shared" si="36"/>
        <v>5.615384615384615</v>
      </c>
      <c r="S96" s="26">
        <f t="shared" si="36"/>
        <v>8.8402270884022709</v>
      </c>
      <c r="T96" s="26">
        <f t="shared" si="36"/>
        <v>14.05</v>
      </c>
      <c r="U96" s="26">
        <f t="shared" si="36"/>
        <v>13.338815789473685</v>
      </c>
      <c r="V96" s="26">
        <f t="shared" si="36"/>
        <v>13.356164383561644</v>
      </c>
      <c r="W96" s="26">
        <f t="shared" si="36"/>
        <v>8.75</v>
      </c>
      <c r="X96" s="26">
        <f t="shared" si="36"/>
        <v>13.605769230769232</v>
      </c>
      <c r="Y96" s="26">
        <f t="shared" si="36"/>
        <v>12.419540229885058</v>
      </c>
      <c r="Z96" s="2">
        <f>SUM(C96:Y96)</f>
        <v>258.47988135057955</v>
      </c>
      <c r="AB96" s="1" t="s">
        <v>18</v>
      </c>
      <c r="AD96" s="1">
        <f>AF94/11.5</f>
        <v>28.260869565217391</v>
      </c>
    </row>
    <row r="97" spans="1:38" ht="27.75" customHeight="1" x14ac:dyDescent="0.4">
      <c r="A97" s="25"/>
      <c r="B97" s="1" t="s">
        <v>19</v>
      </c>
      <c r="C97" s="26">
        <f t="shared" ref="C97:Y97" si="37">IF(C95&gt;0,11.5,0)</f>
        <v>11.5</v>
      </c>
      <c r="D97" s="26">
        <f t="shared" si="37"/>
        <v>11.5</v>
      </c>
      <c r="E97" s="26">
        <f t="shared" si="37"/>
        <v>11.5</v>
      </c>
      <c r="F97" s="26">
        <f t="shared" si="37"/>
        <v>11.5</v>
      </c>
      <c r="G97" s="26">
        <f t="shared" si="37"/>
        <v>11.5</v>
      </c>
      <c r="H97" s="26">
        <f t="shared" si="37"/>
        <v>11.5</v>
      </c>
      <c r="I97" s="26">
        <f t="shared" si="37"/>
        <v>11.5</v>
      </c>
      <c r="J97" s="26">
        <f t="shared" si="37"/>
        <v>11.5</v>
      </c>
      <c r="K97" s="26">
        <f t="shared" si="37"/>
        <v>11.5</v>
      </c>
      <c r="L97" s="26">
        <f t="shared" si="37"/>
        <v>11.5</v>
      </c>
      <c r="M97" s="26">
        <f t="shared" si="37"/>
        <v>11.5</v>
      </c>
      <c r="N97" s="26">
        <f t="shared" si="37"/>
        <v>11.5</v>
      </c>
      <c r="O97" s="26">
        <f t="shared" si="37"/>
        <v>11.5</v>
      </c>
      <c r="P97" s="26">
        <f t="shared" si="37"/>
        <v>11.5</v>
      </c>
      <c r="Q97" s="26">
        <f t="shared" si="37"/>
        <v>11.5</v>
      </c>
      <c r="R97" s="26">
        <f t="shared" si="37"/>
        <v>11.5</v>
      </c>
      <c r="S97" s="26">
        <f t="shared" si="37"/>
        <v>11.5</v>
      </c>
      <c r="T97" s="26">
        <f t="shared" si="37"/>
        <v>11.5</v>
      </c>
      <c r="U97" s="26">
        <f t="shared" si="37"/>
        <v>11.5</v>
      </c>
      <c r="V97" s="26">
        <f t="shared" si="37"/>
        <v>11.5</v>
      </c>
      <c r="W97" s="26">
        <f t="shared" si="37"/>
        <v>11.5</v>
      </c>
      <c r="X97" s="26">
        <f t="shared" si="37"/>
        <v>11.5</v>
      </c>
      <c r="Y97" s="26">
        <f t="shared" si="37"/>
        <v>11.5</v>
      </c>
      <c r="Z97" s="2">
        <f>SUM(C97:Y97)</f>
        <v>264.5</v>
      </c>
      <c r="AB97" s="1" t="s">
        <v>20</v>
      </c>
      <c r="AD97" s="1">
        <f>Z98*AD96</f>
        <v>-170.13378791840441</v>
      </c>
    </row>
    <row r="98" spans="1:38" ht="27.75" customHeight="1" x14ac:dyDescent="0.4">
      <c r="A98" s="28"/>
      <c r="B98" s="29" t="s">
        <v>21</v>
      </c>
      <c r="C98" s="30">
        <f t="shared" ref="C98:Y98" si="38">IF(C95&gt;0,C96-C97,0)</f>
        <v>1.1875</v>
      </c>
      <c r="D98" s="30">
        <f t="shared" si="38"/>
        <v>2.0102739726027394</v>
      </c>
      <c r="E98" s="30">
        <f t="shared" si="38"/>
        <v>1.4220779220779214</v>
      </c>
      <c r="F98" s="30">
        <f t="shared" si="38"/>
        <v>1.6500000000000004</v>
      </c>
      <c r="G98" s="30">
        <f t="shared" si="38"/>
        <v>1.4166666666666661</v>
      </c>
      <c r="H98" s="30">
        <f t="shared" si="38"/>
        <v>0.32222222222222285</v>
      </c>
      <c r="I98" s="30">
        <f t="shared" si="38"/>
        <v>-1.8333333333333321</v>
      </c>
      <c r="J98" s="30">
        <f t="shared" si="38"/>
        <v>-3.5999999999999996</v>
      </c>
      <c r="K98" s="30">
        <f t="shared" si="38"/>
        <v>-1.8666666666666671</v>
      </c>
      <c r="L98" s="30">
        <f t="shared" si="38"/>
        <v>-0.42857142857142883</v>
      </c>
      <c r="M98" s="30">
        <f t="shared" si="38"/>
        <v>-5.0555555555555554</v>
      </c>
      <c r="N98" s="30">
        <f t="shared" si="38"/>
        <v>-1.8431038400363562</v>
      </c>
      <c r="O98" s="30">
        <f t="shared" si="38"/>
        <v>3.3333333333333339</v>
      </c>
      <c r="P98" s="30">
        <f t="shared" si="38"/>
        <v>-9.9752168525403917E-2</v>
      </c>
      <c r="Q98" s="30">
        <f t="shared" si="38"/>
        <v>-0.61111111111111072</v>
      </c>
      <c r="R98" s="30">
        <f t="shared" si="38"/>
        <v>-5.884615384615385</v>
      </c>
      <c r="S98" s="30">
        <f t="shared" si="38"/>
        <v>-2.6597729115977291</v>
      </c>
      <c r="T98" s="30">
        <f t="shared" si="38"/>
        <v>2.5500000000000007</v>
      </c>
      <c r="U98" s="30">
        <f t="shared" si="38"/>
        <v>1.838815789473685</v>
      </c>
      <c r="V98" s="30">
        <f t="shared" si="38"/>
        <v>1.8561643835616444</v>
      </c>
      <c r="W98" s="30">
        <f t="shared" si="38"/>
        <v>-2.75</v>
      </c>
      <c r="X98" s="30">
        <f t="shared" si="38"/>
        <v>2.1057692307692317</v>
      </c>
      <c r="Y98" s="30">
        <f t="shared" si="38"/>
        <v>0.91954022988505812</v>
      </c>
      <c r="Z98" s="2">
        <f>SUM(C98:Y98)</f>
        <v>-6.0201186494204642</v>
      </c>
      <c r="AE98">
        <f>AC98/175</f>
        <v>0</v>
      </c>
    </row>
    <row r="99" spans="1:38" ht="27.75" customHeight="1" x14ac:dyDescent="0.3"/>
    <row r="100" spans="1:38" ht="27.75" customHeight="1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38" ht="27.75" customHeight="1" x14ac:dyDescent="0.4">
      <c r="B101" s="1" t="s">
        <v>46</v>
      </c>
      <c r="C101" s="3">
        <v>1.04</v>
      </c>
      <c r="D101" s="4">
        <v>2.04</v>
      </c>
      <c r="E101" s="4">
        <v>3.04</v>
      </c>
      <c r="F101" s="4">
        <v>4.04</v>
      </c>
      <c r="G101" s="4">
        <v>6.04</v>
      </c>
      <c r="H101" s="4">
        <v>7.04</v>
      </c>
      <c r="I101" s="4">
        <v>8.0399999999999991</v>
      </c>
      <c r="J101" s="4">
        <v>9.0399999999999991</v>
      </c>
      <c r="K101" s="4">
        <v>10.039999999999999</v>
      </c>
      <c r="L101" s="4">
        <v>14.04</v>
      </c>
      <c r="M101" s="4">
        <v>16.04</v>
      </c>
      <c r="N101" s="4">
        <v>17.04</v>
      </c>
      <c r="O101" s="4">
        <v>18.04</v>
      </c>
      <c r="P101" s="4">
        <v>20.04</v>
      </c>
      <c r="Q101" s="4">
        <v>21.04</v>
      </c>
      <c r="R101" s="4">
        <v>22.04</v>
      </c>
      <c r="S101" s="4">
        <v>23.04</v>
      </c>
      <c r="T101" s="4">
        <v>24.04</v>
      </c>
      <c r="U101" s="4">
        <v>25.04</v>
      </c>
      <c r="V101" s="4">
        <v>27.04</v>
      </c>
      <c r="W101" s="4">
        <v>28.04</v>
      </c>
      <c r="X101" s="6">
        <v>29.04</v>
      </c>
      <c r="Y101" s="8">
        <v>30.04</v>
      </c>
      <c r="Z101" s="9" t="s">
        <v>1</v>
      </c>
      <c r="AA101" s="10" t="s">
        <v>2</v>
      </c>
      <c r="AB101" s="11" t="s">
        <v>3</v>
      </c>
      <c r="AC101" s="12" t="s">
        <v>4</v>
      </c>
      <c r="AD101" s="12" t="s">
        <v>5</v>
      </c>
      <c r="AE101" s="10" t="s">
        <v>6</v>
      </c>
      <c r="AF101" s="10" t="s">
        <v>7</v>
      </c>
      <c r="AG101" s="13" t="s">
        <v>8</v>
      </c>
      <c r="AH101" s="10" t="s">
        <v>9</v>
      </c>
      <c r="AI101" s="10" t="s">
        <v>10</v>
      </c>
      <c r="AJ101" s="14" t="s">
        <v>11</v>
      </c>
      <c r="AK101" s="10" t="s">
        <v>12</v>
      </c>
      <c r="AL101" s="104" t="s">
        <v>13</v>
      </c>
    </row>
    <row r="102" spans="1:38" ht="46.5" customHeight="1" x14ac:dyDescent="0.6">
      <c r="A102" s="15">
        <v>12</v>
      </c>
      <c r="B102" s="16" t="s">
        <v>47</v>
      </c>
      <c r="C102" s="17">
        <v>203</v>
      </c>
      <c r="D102" s="17">
        <v>197.25</v>
      </c>
      <c r="E102" s="18">
        <v>199</v>
      </c>
      <c r="F102" s="17">
        <v>197.25</v>
      </c>
      <c r="G102" s="17">
        <v>186</v>
      </c>
      <c r="H102" s="17">
        <f>166+68/6</f>
        <v>177.33333333333334</v>
      </c>
      <c r="I102" s="17">
        <f>149+5/6</f>
        <v>149.83333333333334</v>
      </c>
      <c r="J102" s="17">
        <v>118.5</v>
      </c>
      <c r="K102" s="17">
        <v>144.5</v>
      </c>
      <c r="L102" s="17">
        <f>154+6/6</f>
        <v>155</v>
      </c>
      <c r="M102" s="17">
        <v>58</v>
      </c>
      <c r="N102" s="17">
        <f>138.5+19/6</f>
        <v>141.66666666666666</v>
      </c>
      <c r="O102" s="17">
        <v>222.5</v>
      </c>
      <c r="P102" s="17">
        <v>184</v>
      </c>
      <c r="Q102" s="17">
        <f>160+20/6</f>
        <v>163.33333333333334</v>
      </c>
      <c r="R102" s="17">
        <v>73</v>
      </c>
      <c r="S102" s="17">
        <v>109</v>
      </c>
      <c r="T102" s="17">
        <v>210.75</v>
      </c>
      <c r="U102" s="17">
        <v>202.75</v>
      </c>
      <c r="V102" s="17">
        <v>195</v>
      </c>
      <c r="W102" s="17">
        <v>87.5</v>
      </c>
      <c r="X102" s="17">
        <v>212.25</v>
      </c>
      <c r="Y102" s="17">
        <f>176.25+23/6</f>
        <v>180.08333333333334</v>
      </c>
      <c r="Z102" s="20">
        <f>SUM(C102:Y102)</f>
        <v>3767.5</v>
      </c>
      <c r="AA102" s="21">
        <f>COUNTIF(C103:Y103,"&gt;0")</f>
        <v>23</v>
      </c>
      <c r="AB102" s="21">
        <f>AA102*AB4</f>
        <v>3910</v>
      </c>
      <c r="AC102" s="21">
        <f>Z102-AB102</f>
        <v>-142.5</v>
      </c>
      <c r="AD102" s="21">
        <f>AD4</f>
        <v>24</v>
      </c>
      <c r="AE102" s="21">
        <f>AC102/175</f>
        <v>-0.81428571428571428</v>
      </c>
      <c r="AF102" s="21">
        <f>AH102/AD102</f>
        <v>291.66666666666669</v>
      </c>
      <c r="AG102" s="22">
        <f>AF102*AE102</f>
        <v>-237.5</v>
      </c>
      <c r="AH102" s="21">
        <v>7000</v>
      </c>
      <c r="AI102" s="23">
        <f>AH102+AG102</f>
        <v>6762.5</v>
      </c>
      <c r="AJ102" s="16" t="s">
        <v>47</v>
      </c>
      <c r="AK102" s="37"/>
      <c r="AL102" s="37"/>
    </row>
    <row r="103" spans="1:38" ht="27.75" customHeight="1" x14ac:dyDescent="0.4">
      <c r="A103" s="25"/>
      <c r="B103" s="1" t="s">
        <v>16</v>
      </c>
      <c r="C103" s="26">
        <v>16</v>
      </c>
      <c r="D103" s="26">
        <v>14.6</v>
      </c>
      <c r="E103" s="26">
        <v>15.4</v>
      </c>
      <c r="F103" s="26">
        <v>15</v>
      </c>
      <c r="G103" s="26">
        <v>14.4</v>
      </c>
      <c r="H103" s="26">
        <v>15</v>
      </c>
      <c r="I103" s="26">
        <v>15.5</v>
      </c>
      <c r="J103" s="26">
        <v>15</v>
      </c>
      <c r="K103" s="26">
        <v>15</v>
      </c>
      <c r="L103" s="26">
        <v>14</v>
      </c>
      <c r="M103" s="26">
        <v>9</v>
      </c>
      <c r="N103" s="26">
        <v>14.67</v>
      </c>
      <c r="O103" s="26">
        <v>15</v>
      </c>
      <c r="P103" s="26">
        <v>16.14</v>
      </c>
      <c r="Q103" s="26">
        <v>15</v>
      </c>
      <c r="R103" s="26">
        <v>13</v>
      </c>
      <c r="S103" s="26">
        <v>12.33</v>
      </c>
      <c r="T103" s="26">
        <v>15</v>
      </c>
      <c r="U103" s="26">
        <v>15.2</v>
      </c>
      <c r="V103" s="26">
        <v>14.6</v>
      </c>
      <c r="W103" s="26">
        <v>10</v>
      </c>
      <c r="X103" s="26">
        <v>15.6</v>
      </c>
      <c r="Y103" s="26">
        <v>14.5</v>
      </c>
    </row>
    <row r="104" spans="1:38" ht="27.75" customHeight="1" x14ac:dyDescent="0.4">
      <c r="A104" s="25"/>
      <c r="B104" s="1" t="s">
        <v>17</v>
      </c>
      <c r="C104" s="26">
        <f t="shared" ref="C104:Y104" si="39">IF(C103&gt;0,C102/C103,0)</f>
        <v>12.6875</v>
      </c>
      <c r="D104" s="26">
        <f t="shared" si="39"/>
        <v>13.510273972602739</v>
      </c>
      <c r="E104" s="26">
        <f t="shared" si="39"/>
        <v>12.922077922077921</v>
      </c>
      <c r="F104" s="26">
        <f t="shared" si="39"/>
        <v>13.15</v>
      </c>
      <c r="G104" s="26">
        <f t="shared" si="39"/>
        <v>12.916666666666666</v>
      </c>
      <c r="H104" s="26">
        <f t="shared" si="39"/>
        <v>11.822222222222223</v>
      </c>
      <c r="I104" s="26">
        <f t="shared" si="39"/>
        <v>9.6666666666666679</v>
      </c>
      <c r="J104" s="26">
        <f t="shared" si="39"/>
        <v>7.9</v>
      </c>
      <c r="K104" s="26">
        <f t="shared" si="39"/>
        <v>9.6333333333333329</v>
      </c>
      <c r="L104" s="26">
        <f t="shared" si="39"/>
        <v>11.071428571428571</v>
      </c>
      <c r="M104" s="26">
        <f t="shared" si="39"/>
        <v>6.4444444444444446</v>
      </c>
      <c r="N104" s="26">
        <f t="shared" si="39"/>
        <v>9.6568961599636438</v>
      </c>
      <c r="O104" s="26">
        <f t="shared" si="39"/>
        <v>14.833333333333334</v>
      </c>
      <c r="P104" s="26">
        <f t="shared" si="39"/>
        <v>11.400247831474596</v>
      </c>
      <c r="Q104" s="26">
        <f t="shared" si="39"/>
        <v>10.888888888888889</v>
      </c>
      <c r="R104" s="26">
        <f t="shared" si="39"/>
        <v>5.615384615384615</v>
      </c>
      <c r="S104" s="26">
        <f t="shared" si="39"/>
        <v>8.8402270884022709</v>
      </c>
      <c r="T104" s="26">
        <f t="shared" si="39"/>
        <v>14.05</v>
      </c>
      <c r="U104" s="26">
        <f t="shared" si="39"/>
        <v>13.338815789473685</v>
      </c>
      <c r="V104" s="26">
        <f t="shared" si="39"/>
        <v>13.356164383561644</v>
      </c>
      <c r="W104" s="26">
        <f t="shared" si="39"/>
        <v>8.75</v>
      </c>
      <c r="X104" s="26">
        <f t="shared" si="39"/>
        <v>13.605769230769232</v>
      </c>
      <c r="Y104" s="26">
        <f t="shared" si="39"/>
        <v>12.419540229885058</v>
      </c>
      <c r="Z104" s="2">
        <f>SUM(C104:Y104)</f>
        <v>258.47988135057955</v>
      </c>
      <c r="AB104" s="1" t="s">
        <v>18</v>
      </c>
      <c r="AD104" s="1">
        <f>AF102/11.5</f>
        <v>25.362318840579711</v>
      </c>
    </row>
    <row r="105" spans="1:38" ht="27.75" customHeight="1" x14ac:dyDescent="0.4">
      <c r="A105" s="25"/>
      <c r="B105" s="1" t="s">
        <v>19</v>
      </c>
      <c r="C105" s="26">
        <f t="shared" ref="C105:Y105" si="40">IF(C103&gt;0,11.5,0)</f>
        <v>11.5</v>
      </c>
      <c r="D105" s="26">
        <f t="shared" si="40"/>
        <v>11.5</v>
      </c>
      <c r="E105" s="26">
        <f t="shared" si="40"/>
        <v>11.5</v>
      </c>
      <c r="F105" s="26">
        <f t="shared" si="40"/>
        <v>11.5</v>
      </c>
      <c r="G105" s="26">
        <f t="shared" si="40"/>
        <v>11.5</v>
      </c>
      <c r="H105" s="26">
        <f t="shared" si="40"/>
        <v>11.5</v>
      </c>
      <c r="I105" s="26">
        <f t="shared" si="40"/>
        <v>11.5</v>
      </c>
      <c r="J105" s="26">
        <f t="shared" si="40"/>
        <v>11.5</v>
      </c>
      <c r="K105" s="26">
        <f t="shared" si="40"/>
        <v>11.5</v>
      </c>
      <c r="L105" s="26">
        <f t="shared" si="40"/>
        <v>11.5</v>
      </c>
      <c r="M105" s="26">
        <f t="shared" si="40"/>
        <v>11.5</v>
      </c>
      <c r="N105" s="26">
        <f t="shared" si="40"/>
        <v>11.5</v>
      </c>
      <c r="O105" s="26">
        <f t="shared" si="40"/>
        <v>11.5</v>
      </c>
      <c r="P105" s="26">
        <f t="shared" si="40"/>
        <v>11.5</v>
      </c>
      <c r="Q105" s="26">
        <f t="shared" si="40"/>
        <v>11.5</v>
      </c>
      <c r="R105" s="26">
        <f t="shared" si="40"/>
        <v>11.5</v>
      </c>
      <c r="S105" s="26">
        <f t="shared" si="40"/>
        <v>11.5</v>
      </c>
      <c r="T105" s="26">
        <f t="shared" si="40"/>
        <v>11.5</v>
      </c>
      <c r="U105" s="26">
        <f t="shared" si="40"/>
        <v>11.5</v>
      </c>
      <c r="V105" s="26">
        <f t="shared" si="40"/>
        <v>11.5</v>
      </c>
      <c r="W105" s="26">
        <f t="shared" si="40"/>
        <v>11.5</v>
      </c>
      <c r="X105" s="26">
        <f t="shared" si="40"/>
        <v>11.5</v>
      </c>
      <c r="Y105" s="26">
        <f t="shared" si="40"/>
        <v>11.5</v>
      </c>
      <c r="Z105" s="2">
        <f>SUM(C105:Y105)</f>
        <v>264.5</v>
      </c>
      <c r="AB105" s="1" t="s">
        <v>20</v>
      </c>
      <c r="AD105" s="1">
        <f>Z106*AD104</f>
        <v>-152.68416864472192</v>
      </c>
    </row>
    <row r="106" spans="1:38" ht="27.75" customHeight="1" x14ac:dyDescent="0.4">
      <c r="A106" s="28"/>
      <c r="B106" s="29" t="s">
        <v>21</v>
      </c>
      <c r="C106" s="30">
        <f t="shared" ref="C106:Y106" si="41">IF(C103&gt;0,C104-C105,0)</f>
        <v>1.1875</v>
      </c>
      <c r="D106" s="30">
        <f t="shared" si="41"/>
        <v>2.0102739726027394</v>
      </c>
      <c r="E106" s="30">
        <f t="shared" si="41"/>
        <v>1.4220779220779214</v>
      </c>
      <c r="F106" s="30">
        <f t="shared" si="41"/>
        <v>1.6500000000000004</v>
      </c>
      <c r="G106" s="30">
        <f t="shared" si="41"/>
        <v>1.4166666666666661</v>
      </c>
      <c r="H106" s="30">
        <f t="shared" si="41"/>
        <v>0.32222222222222285</v>
      </c>
      <c r="I106" s="30">
        <f t="shared" si="41"/>
        <v>-1.8333333333333321</v>
      </c>
      <c r="J106" s="30">
        <f t="shared" si="41"/>
        <v>-3.5999999999999996</v>
      </c>
      <c r="K106" s="30">
        <f t="shared" si="41"/>
        <v>-1.8666666666666671</v>
      </c>
      <c r="L106" s="30">
        <f t="shared" si="41"/>
        <v>-0.42857142857142883</v>
      </c>
      <c r="M106" s="30">
        <f t="shared" si="41"/>
        <v>-5.0555555555555554</v>
      </c>
      <c r="N106" s="30">
        <f t="shared" si="41"/>
        <v>-1.8431038400363562</v>
      </c>
      <c r="O106" s="30">
        <f t="shared" si="41"/>
        <v>3.3333333333333339</v>
      </c>
      <c r="P106" s="30">
        <f t="shared" si="41"/>
        <v>-9.9752168525403917E-2</v>
      </c>
      <c r="Q106" s="30">
        <f t="shared" si="41"/>
        <v>-0.61111111111111072</v>
      </c>
      <c r="R106" s="30">
        <f t="shared" si="41"/>
        <v>-5.884615384615385</v>
      </c>
      <c r="S106" s="30">
        <f t="shared" si="41"/>
        <v>-2.6597729115977291</v>
      </c>
      <c r="T106" s="30">
        <f t="shared" si="41"/>
        <v>2.5500000000000007</v>
      </c>
      <c r="U106" s="30">
        <f t="shared" si="41"/>
        <v>1.838815789473685</v>
      </c>
      <c r="V106" s="30">
        <f t="shared" si="41"/>
        <v>1.8561643835616444</v>
      </c>
      <c r="W106" s="30">
        <f t="shared" si="41"/>
        <v>-2.75</v>
      </c>
      <c r="X106" s="30">
        <f t="shared" si="41"/>
        <v>2.1057692307692317</v>
      </c>
      <c r="Y106" s="30">
        <f t="shared" si="41"/>
        <v>0.91954022988505812</v>
      </c>
      <c r="Z106" s="2">
        <f>SUM(C106:Y106)</f>
        <v>-6.0201186494204642</v>
      </c>
      <c r="AE106">
        <f>AC106/175</f>
        <v>0</v>
      </c>
    </row>
    <row r="107" spans="1:38" ht="27.75" customHeight="1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38" ht="27.75" customHeight="1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38" ht="27.75" customHeight="1" x14ac:dyDescent="0.4">
      <c r="B109" s="1" t="s">
        <v>48</v>
      </c>
      <c r="C109" s="3">
        <v>1.04</v>
      </c>
      <c r="D109" s="4">
        <v>2.04</v>
      </c>
      <c r="E109" s="4">
        <v>3.04</v>
      </c>
      <c r="F109" s="4">
        <v>4.04</v>
      </c>
      <c r="G109" s="4">
        <v>6.04</v>
      </c>
      <c r="H109" s="4">
        <v>7.04</v>
      </c>
      <c r="I109" s="105">
        <v>8.0399999999999991</v>
      </c>
      <c r="J109" s="4">
        <v>9.0399999999999991</v>
      </c>
      <c r="K109" s="4">
        <v>10.039999999999999</v>
      </c>
      <c r="L109" s="4">
        <v>14.04</v>
      </c>
      <c r="M109" s="4">
        <v>16.04</v>
      </c>
      <c r="N109" s="4">
        <v>17.04</v>
      </c>
      <c r="O109" s="4">
        <v>18.04</v>
      </c>
      <c r="P109" s="4">
        <v>20.04</v>
      </c>
      <c r="Q109" s="4">
        <v>21.04</v>
      </c>
      <c r="R109" s="4">
        <v>22.04</v>
      </c>
      <c r="S109" s="4">
        <v>23.04</v>
      </c>
      <c r="T109" s="4">
        <v>24.04</v>
      </c>
      <c r="U109" s="4">
        <v>25.04</v>
      </c>
      <c r="V109" s="4">
        <v>27.04</v>
      </c>
      <c r="W109" s="4">
        <v>28.04</v>
      </c>
      <c r="X109" s="6">
        <v>29.04</v>
      </c>
      <c r="Y109" s="7">
        <v>30.04</v>
      </c>
      <c r="Z109" s="9" t="s">
        <v>1</v>
      </c>
      <c r="AA109" s="10" t="s">
        <v>2</v>
      </c>
      <c r="AB109" s="11" t="s">
        <v>3</v>
      </c>
      <c r="AC109" s="12" t="s">
        <v>4</v>
      </c>
      <c r="AD109" s="12" t="s">
        <v>5</v>
      </c>
      <c r="AE109" s="10" t="s">
        <v>6</v>
      </c>
      <c r="AF109" s="10" t="s">
        <v>7</v>
      </c>
      <c r="AG109" s="13" t="s">
        <v>8</v>
      </c>
      <c r="AH109" s="10" t="s">
        <v>9</v>
      </c>
      <c r="AI109" s="10" t="s">
        <v>10</v>
      </c>
      <c r="AJ109" s="14" t="s">
        <v>11</v>
      </c>
      <c r="AK109" s="10" t="s">
        <v>12</v>
      </c>
      <c r="AL109" s="104" t="s">
        <v>13</v>
      </c>
    </row>
    <row r="110" spans="1:38" ht="54.75" customHeight="1" x14ac:dyDescent="0.6">
      <c r="A110" s="15">
        <v>13</v>
      </c>
      <c r="B110" s="16" t="s">
        <v>49</v>
      </c>
      <c r="C110" s="17">
        <v>203</v>
      </c>
      <c r="D110" s="17">
        <v>197.25</v>
      </c>
      <c r="E110" s="18">
        <v>199</v>
      </c>
      <c r="F110" s="17">
        <v>197.25</v>
      </c>
      <c r="G110" s="17">
        <v>186</v>
      </c>
      <c r="H110" s="17">
        <f>166+68/6</f>
        <v>177.33333333333334</v>
      </c>
      <c r="I110" s="106">
        <f>149+5/6</f>
        <v>149.83333333333334</v>
      </c>
      <c r="J110" s="17">
        <v>118.5</v>
      </c>
      <c r="K110" s="17">
        <v>144.5</v>
      </c>
      <c r="L110" s="17">
        <f>154+6/6</f>
        <v>155</v>
      </c>
      <c r="M110" s="17">
        <v>58</v>
      </c>
      <c r="N110" s="17">
        <f>138.5+19/6</f>
        <v>141.66666666666666</v>
      </c>
      <c r="O110" s="17">
        <v>222.5</v>
      </c>
      <c r="P110" s="17">
        <v>184</v>
      </c>
      <c r="Q110" s="17">
        <f>160+20/6</f>
        <v>163.33333333333334</v>
      </c>
      <c r="R110" s="17">
        <v>73</v>
      </c>
      <c r="S110" s="17">
        <v>109</v>
      </c>
      <c r="T110" s="17">
        <v>210.75</v>
      </c>
      <c r="U110" s="17">
        <v>202.75</v>
      </c>
      <c r="V110" s="17">
        <v>195</v>
      </c>
      <c r="W110" s="17">
        <v>87.5</v>
      </c>
      <c r="X110" s="17">
        <v>212.25</v>
      </c>
      <c r="Y110" s="19">
        <v>0</v>
      </c>
      <c r="Z110" s="20">
        <f>SUM(C110:Y110)</f>
        <v>3587.4166666666665</v>
      </c>
      <c r="AA110" s="21">
        <f>COUNTIF(C111:Y111,"&gt;0")</f>
        <v>22</v>
      </c>
      <c r="AB110" s="21">
        <f>AA110*AB4</f>
        <v>3740</v>
      </c>
      <c r="AC110" s="21">
        <f>Z110-AB110</f>
        <v>-152.58333333333348</v>
      </c>
      <c r="AD110" s="21">
        <f>AD4</f>
        <v>24</v>
      </c>
      <c r="AE110" s="21">
        <f>AC110/175</f>
        <v>-0.87190476190476274</v>
      </c>
      <c r="AF110" s="21">
        <f>AH110/AD110</f>
        <v>333.33333333333331</v>
      </c>
      <c r="AG110" s="22">
        <f>AF110*AE110</f>
        <v>-290.63492063492089</v>
      </c>
      <c r="AH110" s="21">
        <v>8000</v>
      </c>
      <c r="AI110" s="23">
        <f>AH110+AG110</f>
        <v>7709.3650793650795</v>
      </c>
      <c r="AJ110" s="16" t="s">
        <v>49</v>
      </c>
      <c r="AK110" s="37"/>
      <c r="AL110" s="110" t="s">
        <v>62</v>
      </c>
    </row>
    <row r="111" spans="1:38" ht="27.75" customHeight="1" x14ac:dyDescent="0.4">
      <c r="A111" s="25"/>
      <c r="B111" s="1" t="s">
        <v>16</v>
      </c>
      <c r="C111" s="26">
        <v>16</v>
      </c>
      <c r="D111" s="26">
        <v>14.6</v>
      </c>
      <c r="E111" s="26">
        <v>15.4</v>
      </c>
      <c r="F111" s="26">
        <v>15</v>
      </c>
      <c r="G111" s="26">
        <v>14.4</v>
      </c>
      <c r="H111" s="26">
        <v>15</v>
      </c>
      <c r="I111" s="108">
        <v>15.5</v>
      </c>
      <c r="J111" s="26">
        <v>15</v>
      </c>
      <c r="K111" s="26">
        <v>15</v>
      </c>
      <c r="L111" s="26">
        <v>14</v>
      </c>
      <c r="M111" s="26">
        <v>9</v>
      </c>
      <c r="N111" s="26">
        <v>14.67</v>
      </c>
      <c r="O111" s="26">
        <v>15</v>
      </c>
      <c r="P111" s="26">
        <v>16.14</v>
      </c>
      <c r="Q111" s="26">
        <v>15</v>
      </c>
      <c r="R111" s="26">
        <v>13</v>
      </c>
      <c r="S111" s="26">
        <v>12.33</v>
      </c>
      <c r="T111" s="26">
        <v>15</v>
      </c>
      <c r="U111" s="26">
        <v>15.2</v>
      </c>
      <c r="V111" s="26">
        <v>14.6</v>
      </c>
      <c r="W111" s="26">
        <v>10</v>
      </c>
      <c r="X111" s="26">
        <v>15.6</v>
      </c>
      <c r="Y111" s="27">
        <v>0</v>
      </c>
    </row>
    <row r="112" spans="1:38" ht="27.75" customHeight="1" x14ac:dyDescent="0.4">
      <c r="A112" s="25"/>
      <c r="B112" s="1" t="s">
        <v>17</v>
      </c>
      <c r="C112" s="26">
        <f t="shared" ref="C112:Y112" si="42">IF(C111&gt;0,C110/C111,0)</f>
        <v>12.6875</v>
      </c>
      <c r="D112" s="26">
        <f t="shared" si="42"/>
        <v>13.510273972602739</v>
      </c>
      <c r="E112" s="26">
        <f t="shared" si="42"/>
        <v>12.922077922077921</v>
      </c>
      <c r="F112" s="26">
        <f t="shared" si="42"/>
        <v>13.15</v>
      </c>
      <c r="G112" s="26">
        <f t="shared" si="42"/>
        <v>12.916666666666666</v>
      </c>
      <c r="H112" s="26">
        <f t="shared" si="42"/>
        <v>11.822222222222223</v>
      </c>
      <c r="I112" s="108">
        <f t="shared" si="42"/>
        <v>9.6666666666666679</v>
      </c>
      <c r="J112" s="26">
        <f t="shared" si="42"/>
        <v>7.9</v>
      </c>
      <c r="K112" s="26">
        <f t="shared" si="42"/>
        <v>9.6333333333333329</v>
      </c>
      <c r="L112" s="26">
        <f t="shared" si="42"/>
        <v>11.071428571428571</v>
      </c>
      <c r="M112" s="26">
        <f t="shared" si="42"/>
        <v>6.4444444444444446</v>
      </c>
      <c r="N112" s="26">
        <f t="shared" si="42"/>
        <v>9.6568961599636438</v>
      </c>
      <c r="O112" s="26">
        <f t="shared" si="42"/>
        <v>14.833333333333334</v>
      </c>
      <c r="P112" s="26">
        <f t="shared" si="42"/>
        <v>11.400247831474596</v>
      </c>
      <c r="Q112" s="26">
        <f t="shared" si="42"/>
        <v>10.888888888888889</v>
      </c>
      <c r="R112" s="26">
        <f t="shared" si="42"/>
        <v>5.615384615384615</v>
      </c>
      <c r="S112" s="26">
        <f t="shared" si="42"/>
        <v>8.8402270884022709</v>
      </c>
      <c r="T112" s="26">
        <f t="shared" si="42"/>
        <v>14.05</v>
      </c>
      <c r="U112" s="26">
        <f t="shared" si="42"/>
        <v>13.338815789473685</v>
      </c>
      <c r="V112" s="26">
        <f t="shared" si="42"/>
        <v>13.356164383561644</v>
      </c>
      <c r="W112" s="26">
        <f t="shared" si="42"/>
        <v>8.75</v>
      </c>
      <c r="X112" s="26">
        <f t="shared" si="42"/>
        <v>13.605769230769232</v>
      </c>
      <c r="Y112" s="27">
        <f t="shared" si="42"/>
        <v>0</v>
      </c>
      <c r="Z112" s="2">
        <f>SUM(C112:Y112)</f>
        <v>246.06034112069449</v>
      </c>
      <c r="AB112" s="1" t="s">
        <v>18</v>
      </c>
      <c r="AD112" s="1">
        <f>AF110/11.5</f>
        <v>28.985507246376809</v>
      </c>
    </row>
    <row r="113" spans="1:38" ht="27.75" customHeight="1" x14ac:dyDescent="0.4">
      <c r="A113" s="25"/>
      <c r="B113" s="1" t="s">
        <v>19</v>
      </c>
      <c r="C113" s="26">
        <f t="shared" ref="C113:Y113" si="43">IF(C111&gt;0,11.5,0)</f>
        <v>11.5</v>
      </c>
      <c r="D113" s="26">
        <f t="shared" si="43"/>
        <v>11.5</v>
      </c>
      <c r="E113" s="26">
        <f t="shared" si="43"/>
        <v>11.5</v>
      </c>
      <c r="F113" s="26">
        <f t="shared" si="43"/>
        <v>11.5</v>
      </c>
      <c r="G113" s="26">
        <f t="shared" si="43"/>
        <v>11.5</v>
      </c>
      <c r="H113" s="26">
        <f t="shared" si="43"/>
        <v>11.5</v>
      </c>
      <c r="I113" s="108">
        <f t="shared" si="43"/>
        <v>11.5</v>
      </c>
      <c r="J113" s="26">
        <f t="shared" si="43"/>
        <v>11.5</v>
      </c>
      <c r="K113" s="26">
        <f t="shared" si="43"/>
        <v>11.5</v>
      </c>
      <c r="L113" s="26">
        <f t="shared" si="43"/>
        <v>11.5</v>
      </c>
      <c r="M113" s="26">
        <f t="shared" si="43"/>
        <v>11.5</v>
      </c>
      <c r="N113" s="26">
        <f t="shared" si="43"/>
        <v>11.5</v>
      </c>
      <c r="O113" s="26">
        <f t="shared" si="43"/>
        <v>11.5</v>
      </c>
      <c r="P113" s="26">
        <f t="shared" si="43"/>
        <v>11.5</v>
      </c>
      <c r="Q113" s="26">
        <f t="shared" si="43"/>
        <v>11.5</v>
      </c>
      <c r="R113" s="26">
        <f t="shared" si="43"/>
        <v>11.5</v>
      </c>
      <c r="S113" s="26">
        <f t="shared" si="43"/>
        <v>11.5</v>
      </c>
      <c r="T113" s="26">
        <f t="shared" si="43"/>
        <v>11.5</v>
      </c>
      <c r="U113" s="26">
        <f t="shared" si="43"/>
        <v>11.5</v>
      </c>
      <c r="V113" s="26">
        <f t="shared" si="43"/>
        <v>11.5</v>
      </c>
      <c r="W113" s="26">
        <f t="shared" si="43"/>
        <v>11.5</v>
      </c>
      <c r="X113" s="26">
        <f t="shared" si="43"/>
        <v>11.5</v>
      </c>
      <c r="Y113" s="27">
        <f t="shared" si="43"/>
        <v>0</v>
      </c>
      <c r="Z113" s="2">
        <f>SUM(C113:Y113)</f>
        <v>253</v>
      </c>
      <c r="AB113" s="1" t="s">
        <v>20</v>
      </c>
      <c r="AD113" s="1">
        <f>Z114*AD112</f>
        <v>-201.14953273349337</v>
      </c>
    </row>
    <row r="114" spans="1:38" ht="27.75" customHeight="1" x14ac:dyDescent="0.4">
      <c r="A114" s="28"/>
      <c r="B114" s="29" t="s">
        <v>21</v>
      </c>
      <c r="C114" s="30">
        <f t="shared" ref="C114:Y114" si="44">IF(C111&gt;0,C112-C113,0)</f>
        <v>1.1875</v>
      </c>
      <c r="D114" s="30">
        <f t="shared" si="44"/>
        <v>2.0102739726027394</v>
      </c>
      <c r="E114" s="30">
        <f t="shared" si="44"/>
        <v>1.4220779220779214</v>
      </c>
      <c r="F114" s="30">
        <f t="shared" si="44"/>
        <v>1.6500000000000004</v>
      </c>
      <c r="G114" s="30">
        <f t="shared" si="44"/>
        <v>1.4166666666666661</v>
      </c>
      <c r="H114" s="30">
        <f t="shared" si="44"/>
        <v>0.32222222222222285</v>
      </c>
      <c r="I114" s="109">
        <f t="shared" si="44"/>
        <v>-1.8333333333333321</v>
      </c>
      <c r="J114" s="30">
        <f t="shared" si="44"/>
        <v>-3.5999999999999996</v>
      </c>
      <c r="K114" s="30">
        <f t="shared" si="44"/>
        <v>-1.8666666666666671</v>
      </c>
      <c r="L114" s="30">
        <f t="shared" si="44"/>
        <v>-0.42857142857142883</v>
      </c>
      <c r="M114" s="30">
        <f t="shared" si="44"/>
        <v>-5.0555555555555554</v>
      </c>
      <c r="N114" s="30">
        <f t="shared" si="44"/>
        <v>-1.8431038400363562</v>
      </c>
      <c r="O114" s="30">
        <f t="shared" si="44"/>
        <v>3.3333333333333339</v>
      </c>
      <c r="P114" s="30">
        <f t="shared" si="44"/>
        <v>-9.9752168525403917E-2</v>
      </c>
      <c r="Q114" s="30">
        <f t="shared" si="44"/>
        <v>-0.61111111111111072</v>
      </c>
      <c r="R114" s="30">
        <f t="shared" si="44"/>
        <v>-5.884615384615385</v>
      </c>
      <c r="S114" s="30">
        <f t="shared" si="44"/>
        <v>-2.6597729115977291</v>
      </c>
      <c r="T114" s="30">
        <f t="shared" si="44"/>
        <v>2.5500000000000007</v>
      </c>
      <c r="U114" s="30">
        <f t="shared" si="44"/>
        <v>1.838815789473685</v>
      </c>
      <c r="V114" s="30">
        <f t="shared" si="44"/>
        <v>1.8561643835616444</v>
      </c>
      <c r="W114" s="30">
        <f t="shared" si="44"/>
        <v>-2.75</v>
      </c>
      <c r="X114" s="30">
        <f t="shared" si="44"/>
        <v>2.1057692307692317</v>
      </c>
      <c r="Y114" s="31">
        <f t="shared" si="44"/>
        <v>0</v>
      </c>
      <c r="Z114" s="2">
        <f>SUM(C114:Y114)</f>
        <v>-6.9396588793055223</v>
      </c>
      <c r="AE114">
        <f>AC114/175</f>
        <v>0</v>
      </c>
    </row>
    <row r="115" spans="1:38" ht="27.75" customHeight="1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38" ht="27.75" customHeight="1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38" ht="27.75" customHeight="1" x14ac:dyDescent="0.4">
      <c r="C117" s="3">
        <v>1.04</v>
      </c>
      <c r="D117" s="4">
        <v>2.04</v>
      </c>
      <c r="E117" s="4">
        <v>3.04</v>
      </c>
      <c r="F117" s="4">
        <v>4.04</v>
      </c>
      <c r="G117" s="4">
        <v>6.04</v>
      </c>
      <c r="H117" s="4">
        <v>7.04</v>
      </c>
      <c r="I117" s="4">
        <v>8.0399999999999991</v>
      </c>
      <c r="J117" s="4">
        <v>9.0399999999999991</v>
      </c>
      <c r="K117" s="4">
        <v>10.039999999999999</v>
      </c>
      <c r="L117" s="4">
        <v>14.04</v>
      </c>
      <c r="M117" s="5">
        <v>16.04</v>
      </c>
      <c r="N117" s="4">
        <v>17.04</v>
      </c>
      <c r="O117" s="105">
        <v>18.04</v>
      </c>
      <c r="P117" s="4">
        <v>20.04</v>
      </c>
      <c r="Q117" s="4">
        <v>21.04</v>
      </c>
      <c r="R117" s="4">
        <v>22.04</v>
      </c>
      <c r="S117" s="4">
        <v>23.04</v>
      </c>
      <c r="T117" s="4">
        <v>24.04</v>
      </c>
      <c r="U117" s="4">
        <v>25.04</v>
      </c>
      <c r="V117" s="4">
        <v>27.04</v>
      </c>
      <c r="W117" s="4">
        <v>28.04</v>
      </c>
      <c r="X117" s="6">
        <v>29.04</v>
      </c>
      <c r="Y117" s="8">
        <v>30.04</v>
      </c>
      <c r="Z117" s="9" t="s">
        <v>1</v>
      </c>
      <c r="AA117" s="10" t="s">
        <v>2</v>
      </c>
      <c r="AB117" s="11" t="s">
        <v>3</v>
      </c>
      <c r="AC117" s="12" t="s">
        <v>4</v>
      </c>
      <c r="AD117" s="12" t="s">
        <v>5</v>
      </c>
      <c r="AE117" s="10" t="s">
        <v>6</v>
      </c>
      <c r="AF117" s="10" t="s">
        <v>7</v>
      </c>
      <c r="AG117" s="13" t="s">
        <v>8</v>
      </c>
      <c r="AH117" s="10" t="s">
        <v>9</v>
      </c>
      <c r="AI117" s="10" t="s">
        <v>10</v>
      </c>
      <c r="AJ117" s="14" t="s">
        <v>11</v>
      </c>
      <c r="AK117" s="10" t="s">
        <v>12</v>
      </c>
      <c r="AL117" s="104" t="s">
        <v>13</v>
      </c>
    </row>
    <row r="118" spans="1:38" ht="42.75" customHeight="1" x14ac:dyDescent="0.6">
      <c r="A118" s="34">
        <v>14</v>
      </c>
      <c r="B118" s="36" t="s">
        <v>50</v>
      </c>
      <c r="C118" s="17">
        <v>203</v>
      </c>
      <c r="D118" s="17">
        <v>197.25</v>
      </c>
      <c r="E118" s="18">
        <v>199</v>
      </c>
      <c r="F118" s="17">
        <v>197.25</v>
      </c>
      <c r="G118" s="17">
        <v>186</v>
      </c>
      <c r="H118" s="17">
        <f>166+68/6</f>
        <v>177.33333333333334</v>
      </c>
      <c r="I118" s="17">
        <f>149+5/6</f>
        <v>149.83333333333334</v>
      </c>
      <c r="J118" s="17">
        <v>118.5</v>
      </c>
      <c r="K118" s="17">
        <v>144.5</v>
      </c>
      <c r="L118" s="17">
        <f>154+6/6</f>
        <v>155</v>
      </c>
      <c r="M118" s="19">
        <v>0</v>
      </c>
      <c r="N118" s="17">
        <f>138.5+19/6</f>
        <v>141.66666666666666</v>
      </c>
      <c r="O118" s="106">
        <v>222.5</v>
      </c>
      <c r="P118" s="17">
        <v>184</v>
      </c>
      <c r="Q118" s="17">
        <f>160+20/6</f>
        <v>163.33333333333334</v>
      </c>
      <c r="R118" s="17">
        <v>73</v>
      </c>
      <c r="S118" s="17">
        <v>109</v>
      </c>
      <c r="T118" s="17">
        <v>210.75</v>
      </c>
      <c r="U118" s="17">
        <v>202.75</v>
      </c>
      <c r="V118" s="17">
        <v>195</v>
      </c>
      <c r="W118" s="17">
        <v>87.5</v>
      </c>
      <c r="X118" s="17">
        <v>212.25</v>
      </c>
      <c r="Y118" s="17">
        <f>176.25+23/6</f>
        <v>180.08333333333334</v>
      </c>
      <c r="Z118" s="20">
        <f>SUM(C118:Y118)</f>
        <v>3709.5</v>
      </c>
      <c r="AA118" s="21">
        <f>COUNTIF(C119:Y119,"&gt;0")</f>
        <v>22</v>
      </c>
      <c r="AB118" s="21">
        <f>AA118*AB4</f>
        <v>3740</v>
      </c>
      <c r="AC118" s="21">
        <f>Z118-AB118</f>
        <v>-30.5</v>
      </c>
      <c r="AD118" s="21">
        <f>AD4</f>
        <v>24</v>
      </c>
      <c r="AE118" s="21">
        <f>AC118/175</f>
        <v>-0.17428571428571429</v>
      </c>
      <c r="AF118" s="21">
        <f>AH118/AD118</f>
        <v>312.5</v>
      </c>
      <c r="AG118" s="22">
        <f>AF118*AE118</f>
        <v>-54.464285714285715</v>
      </c>
      <c r="AH118" s="21">
        <v>7500</v>
      </c>
      <c r="AI118" s="23">
        <f>AH118+AG118</f>
        <v>7445.5357142857147</v>
      </c>
      <c r="AJ118" s="2" t="s">
        <v>50</v>
      </c>
      <c r="AK118" s="37"/>
      <c r="AL118" s="110" t="s">
        <v>63</v>
      </c>
    </row>
    <row r="119" spans="1:38" ht="27.75" customHeight="1" x14ac:dyDescent="0.4">
      <c r="A119" s="25"/>
      <c r="B119" s="1" t="s">
        <v>16</v>
      </c>
      <c r="C119" s="26">
        <v>16</v>
      </c>
      <c r="D119" s="26">
        <v>14.6</v>
      </c>
      <c r="E119" s="26">
        <v>15.4</v>
      </c>
      <c r="F119" s="26">
        <v>15</v>
      </c>
      <c r="G119" s="26">
        <v>14.4</v>
      </c>
      <c r="H119" s="26">
        <v>15</v>
      </c>
      <c r="I119" s="26">
        <v>15.5</v>
      </c>
      <c r="J119" s="26">
        <v>15</v>
      </c>
      <c r="K119" s="26">
        <v>15</v>
      </c>
      <c r="L119" s="26">
        <v>14</v>
      </c>
      <c r="M119" s="27">
        <v>0</v>
      </c>
      <c r="N119" s="26">
        <v>14.67</v>
      </c>
      <c r="O119" s="108">
        <v>15</v>
      </c>
      <c r="P119" s="26">
        <v>16.14</v>
      </c>
      <c r="Q119" s="26">
        <v>15</v>
      </c>
      <c r="R119" s="26">
        <v>13</v>
      </c>
      <c r="S119" s="26">
        <v>12.33</v>
      </c>
      <c r="T119" s="26">
        <v>15</v>
      </c>
      <c r="U119" s="26">
        <v>15.2</v>
      </c>
      <c r="V119" s="26">
        <v>14.6</v>
      </c>
      <c r="W119" s="26">
        <v>10</v>
      </c>
      <c r="X119" s="26">
        <v>15.6</v>
      </c>
      <c r="Y119" s="26">
        <v>14.5</v>
      </c>
    </row>
    <row r="120" spans="1:38" ht="27.75" customHeight="1" x14ac:dyDescent="0.4">
      <c r="A120" s="25"/>
      <c r="B120" s="1" t="s">
        <v>17</v>
      </c>
      <c r="C120" s="26">
        <f t="shared" ref="C120:Y120" si="45">IF(C119&gt;0,C118/C119,0)</f>
        <v>12.6875</v>
      </c>
      <c r="D120" s="26">
        <f t="shared" si="45"/>
        <v>13.510273972602739</v>
      </c>
      <c r="E120" s="26">
        <f t="shared" si="45"/>
        <v>12.922077922077921</v>
      </c>
      <c r="F120" s="26">
        <f t="shared" si="45"/>
        <v>13.15</v>
      </c>
      <c r="G120" s="26">
        <f t="shared" si="45"/>
        <v>12.916666666666666</v>
      </c>
      <c r="H120" s="26">
        <f t="shared" si="45"/>
        <v>11.822222222222223</v>
      </c>
      <c r="I120" s="26">
        <f t="shared" si="45"/>
        <v>9.6666666666666679</v>
      </c>
      <c r="J120" s="26">
        <f t="shared" si="45"/>
        <v>7.9</v>
      </c>
      <c r="K120" s="26">
        <f t="shared" si="45"/>
        <v>9.6333333333333329</v>
      </c>
      <c r="L120" s="26">
        <f t="shared" si="45"/>
        <v>11.071428571428571</v>
      </c>
      <c r="M120" s="27">
        <f t="shared" si="45"/>
        <v>0</v>
      </c>
      <c r="N120" s="26">
        <f t="shared" si="45"/>
        <v>9.6568961599636438</v>
      </c>
      <c r="O120" s="108">
        <f t="shared" si="45"/>
        <v>14.833333333333334</v>
      </c>
      <c r="P120" s="26">
        <f t="shared" si="45"/>
        <v>11.400247831474596</v>
      </c>
      <c r="Q120" s="26">
        <f t="shared" si="45"/>
        <v>10.888888888888889</v>
      </c>
      <c r="R120" s="26">
        <f t="shared" si="45"/>
        <v>5.615384615384615</v>
      </c>
      <c r="S120" s="26">
        <f t="shared" si="45"/>
        <v>8.8402270884022709</v>
      </c>
      <c r="T120" s="26">
        <f t="shared" si="45"/>
        <v>14.05</v>
      </c>
      <c r="U120" s="26">
        <f t="shared" si="45"/>
        <v>13.338815789473685</v>
      </c>
      <c r="V120" s="26">
        <f t="shared" si="45"/>
        <v>13.356164383561644</v>
      </c>
      <c r="W120" s="26">
        <f t="shared" si="45"/>
        <v>8.75</v>
      </c>
      <c r="X120" s="26">
        <f t="shared" si="45"/>
        <v>13.605769230769232</v>
      </c>
      <c r="Y120" s="26">
        <f t="shared" si="45"/>
        <v>12.419540229885058</v>
      </c>
      <c r="Z120" s="2">
        <f>SUM(C120:Y120)</f>
        <v>252.03543690613509</v>
      </c>
      <c r="AB120" s="1" t="s">
        <v>18</v>
      </c>
      <c r="AD120" s="1">
        <f>AF118/11.5</f>
        <v>27.173913043478262</v>
      </c>
    </row>
    <row r="121" spans="1:38" ht="27.75" customHeight="1" x14ac:dyDescent="0.4">
      <c r="A121" s="25"/>
      <c r="B121" s="1" t="s">
        <v>19</v>
      </c>
      <c r="C121" s="26">
        <f t="shared" ref="C121:Y121" si="46">IF(C119&gt;0,11.5,0)</f>
        <v>11.5</v>
      </c>
      <c r="D121" s="26">
        <f t="shared" si="46"/>
        <v>11.5</v>
      </c>
      <c r="E121" s="26">
        <f t="shared" si="46"/>
        <v>11.5</v>
      </c>
      <c r="F121" s="26">
        <f t="shared" si="46"/>
        <v>11.5</v>
      </c>
      <c r="G121" s="26">
        <f t="shared" si="46"/>
        <v>11.5</v>
      </c>
      <c r="H121" s="26">
        <f t="shared" si="46"/>
        <v>11.5</v>
      </c>
      <c r="I121" s="26">
        <f t="shared" si="46"/>
        <v>11.5</v>
      </c>
      <c r="J121" s="26">
        <f t="shared" si="46"/>
        <v>11.5</v>
      </c>
      <c r="K121" s="26">
        <f t="shared" si="46"/>
        <v>11.5</v>
      </c>
      <c r="L121" s="26">
        <f t="shared" si="46"/>
        <v>11.5</v>
      </c>
      <c r="M121" s="27">
        <f t="shared" si="46"/>
        <v>0</v>
      </c>
      <c r="N121" s="26">
        <f t="shared" si="46"/>
        <v>11.5</v>
      </c>
      <c r="O121" s="108">
        <f t="shared" si="46"/>
        <v>11.5</v>
      </c>
      <c r="P121" s="26">
        <f t="shared" si="46"/>
        <v>11.5</v>
      </c>
      <c r="Q121" s="26">
        <f t="shared" si="46"/>
        <v>11.5</v>
      </c>
      <c r="R121" s="26">
        <f t="shared" si="46"/>
        <v>11.5</v>
      </c>
      <c r="S121" s="26">
        <f t="shared" si="46"/>
        <v>11.5</v>
      </c>
      <c r="T121" s="26">
        <f t="shared" si="46"/>
        <v>11.5</v>
      </c>
      <c r="U121" s="26">
        <f t="shared" si="46"/>
        <v>11.5</v>
      </c>
      <c r="V121" s="26">
        <f t="shared" si="46"/>
        <v>11.5</v>
      </c>
      <c r="W121" s="26">
        <f t="shared" si="46"/>
        <v>11.5</v>
      </c>
      <c r="X121" s="26">
        <f t="shared" si="46"/>
        <v>11.5</v>
      </c>
      <c r="Y121" s="26">
        <f t="shared" si="46"/>
        <v>11.5</v>
      </c>
      <c r="Z121" s="2">
        <f>SUM(C121:Y121)</f>
        <v>253</v>
      </c>
      <c r="AB121" s="1" t="s">
        <v>20</v>
      </c>
      <c r="AD121" s="1">
        <f>Z122*AD120</f>
        <v>-26.210953637633391</v>
      </c>
    </row>
    <row r="122" spans="1:38" ht="27.75" customHeight="1" x14ac:dyDescent="0.4">
      <c r="A122" s="28"/>
      <c r="B122" s="29" t="s">
        <v>21</v>
      </c>
      <c r="C122" s="30">
        <f t="shared" ref="C122:Y122" si="47">IF(C119&gt;0,C120-C121,0)</f>
        <v>1.1875</v>
      </c>
      <c r="D122" s="30">
        <f t="shared" si="47"/>
        <v>2.0102739726027394</v>
      </c>
      <c r="E122" s="30">
        <f t="shared" si="47"/>
        <v>1.4220779220779214</v>
      </c>
      <c r="F122" s="30">
        <f t="shared" si="47"/>
        <v>1.6500000000000004</v>
      </c>
      <c r="G122" s="30">
        <f t="shared" si="47"/>
        <v>1.4166666666666661</v>
      </c>
      <c r="H122" s="30">
        <f t="shared" si="47"/>
        <v>0.32222222222222285</v>
      </c>
      <c r="I122" s="30">
        <f t="shared" si="47"/>
        <v>-1.8333333333333321</v>
      </c>
      <c r="J122" s="30">
        <f t="shared" si="47"/>
        <v>-3.5999999999999996</v>
      </c>
      <c r="K122" s="30">
        <f t="shared" si="47"/>
        <v>-1.8666666666666671</v>
      </c>
      <c r="L122" s="30">
        <f t="shared" si="47"/>
        <v>-0.42857142857142883</v>
      </c>
      <c r="M122" s="31">
        <f t="shared" si="47"/>
        <v>0</v>
      </c>
      <c r="N122" s="30">
        <f t="shared" si="47"/>
        <v>-1.8431038400363562</v>
      </c>
      <c r="O122" s="109">
        <f t="shared" si="47"/>
        <v>3.3333333333333339</v>
      </c>
      <c r="P122" s="30">
        <f t="shared" si="47"/>
        <v>-9.9752168525403917E-2</v>
      </c>
      <c r="Q122" s="30">
        <f t="shared" si="47"/>
        <v>-0.61111111111111072</v>
      </c>
      <c r="R122" s="30">
        <f t="shared" si="47"/>
        <v>-5.884615384615385</v>
      </c>
      <c r="S122" s="30">
        <f t="shared" si="47"/>
        <v>-2.6597729115977291</v>
      </c>
      <c r="T122" s="30">
        <f t="shared" si="47"/>
        <v>2.5500000000000007</v>
      </c>
      <c r="U122" s="30">
        <f t="shared" si="47"/>
        <v>1.838815789473685</v>
      </c>
      <c r="V122" s="30">
        <f t="shared" si="47"/>
        <v>1.8561643835616444</v>
      </c>
      <c r="W122" s="30">
        <f t="shared" si="47"/>
        <v>-2.75</v>
      </c>
      <c r="X122" s="30">
        <f t="shared" si="47"/>
        <v>2.1057692307692317</v>
      </c>
      <c r="Y122" s="30">
        <f t="shared" si="47"/>
        <v>0.91954022988505812</v>
      </c>
      <c r="Z122" s="2">
        <f>SUM(C122:Y122)</f>
        <v>-0.96456309386490879</v>
      </c>
      <c r="AE122">
        <f>AC122/175</f>
        <v>0</v>
      </c>
    </row>
    <row r="123" spans="1:38" ht="27.75" customHeight="1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38" ht="27.75" customHeight="1" thickBot="1" x14ac:dyDescent="0.35"/>
    <row r="125" spans="1:38" ht="30.75" customHeight="1" thickTop="1" thickBot="1" x14ac:dyDescent="0.45">
      <c r="B125" s="1" t="s">
        <v>52</v>
      </c>
      <c r="C125" s="3">
        <v>1.04</v>
      </c>
      <c r="D125" s="105">
        <v>2.04</v>
      </c>
      <c r="E125" s="4">
        <v>3.04</v>
      </c>
      <c r="F125" s="4">
        <v>4.04</v>
      </c>
      <c r="G125" s="5">
        <v>6.04</v>
      </c>
      <c r="H125" s="4">
        <v>7.04</v>
      </c>
      <c r="I125" s="4">
        <v>8.0399999999999991</v>
      </c>
      <c r="J125" s="4">
        <v>9.0399999999999991</v>
      </c>
      <c r="K125" s="4">
        <v>10.039999999999999</v>
      </c>
      <c r="L125" s="4">
        <v>14.04</v>
      </c>
      <c r="M125" s="4">
        <v>16.04</v>
      </c>
      <c r="N125" s="4">
        <v>17.04</v>
      </c>
      <c r="O125" s="4">
        <v>18.04</v>
      </c>
      <c r="P125" s="4">
        <v>20.04</v>
      </c>
      <c r="Q125" s="4">
        <v>21.04</v>
      </c>
      <c r="R125" s="4">
        <v>22.04</v>
      </c>
      <c r="S125" s="4">
        <v>23.04</v>
      </c>
      <c r="T125" s="4">
        <v>24.04</v>
      </c>
      <c r="U125" s="4">
        <v>25.04</v>
      </c>
      <c r="V125" s="4">
        <v>27.04</v>
      </c>
      <c r="W125" s="4">
        <v>28.04</v>
      </c>
      <c r="X125" s="6">
        <v>29.04</v>
      </c>
      <c r="Y125" s="8">
        <v>30.04</v>
      </c>
      <c r="Z125" s="9" t="s">
        <v>1</v>
      </c>
      <c r="AA125" s="10" t="s">
        <v>2</v>
      </c>
      <c r="AB125" s="11" t="s">
        <v>3</v>
      </c>
      <c r="AC125" s="12" t="s">
        <v>4</v>
      </c>
      <c r="AD125" s="12" t="s">
        <v>5</v>
      </c>
      <c r="AE125" s="10" t="s">
        <v>6</v>
      </c>
      <c r="AF125" s="10" t="s">
        <v>7</v>
      </c>
      <c r="AG125" s="13" t="s">
        <v>8</v>
      </c>
      <c r="AH125" s="10" t="s">
        <v>9</v>
      </c>
      <c r="AI125" s="10" t="s">
        <v>10</v>
      </c>
      <c r="AJ125" s="14" t="s">
        <v>11</v>
      </c>
      <c r="AK125" s="10" t="s">
        <v>12</v>
      </c>
      <c r="AL125" s="104" t="s">
        <v>13</v>
      </c>
    </row>
    <row r="126" spans="1:38" ht="39.75" customHeight="1" thickTop="1" thickBot="1" x14ac:dyDescent="0.65">
      <c r="A126" s="15">
        <v>15</v>
      </c>
      <c r="B126" s="46" t="s">
        <v>53</v>
      </c>
      <c r="C126" s="17">
        <v>203</v>
      </c>
      <c r="D126" s="106">
        <v>197.25</v>
      </c>
      <c r="E126" s="18">
        <v>199</v>
      </c>
      <c r="F126" s="17">
        <v>197.25</v>
      </c>
      <c r="G126" s="19">
        <v>0</v>
      </c>
      <c r="H126" s="17">
        <f>166+68/6</f>
        <v>177.33333333333334</v>
      </c>
      <c r="I126" s="17">
        <f>149+5/6</f>
        <v>149.83333333333334</v>
      </c>
      <c r="J126" s="17">
        <v>118.5</v>
      </c>
      <c r="K126" s="17">
        <v>144.5</v>
      </c>
      <c r="L126" s="17">
        <f>154+6/6</f>
        <v>155</v>
      </c>
      <c r="M126" s="17">
        <v>58</v>
      </c>
      <c r="N126" s="17">
        <f>138.5+19/6</f>
        <v>141.66666666666666</v>
      </c>
      <c r="O126" s="17">
        <v>222.5</v>
      </c>
      <c r="P126" s="17">
        <v>184</v>
      </c>
      <c r="Q126" s="17">
        <f>160+20/6</f>
        <v>163.33333333333334</v>
      </c>
      <c r="R126" s="17">
        <v>73</v>
      </c>
      <c r="S126" s="17">
        <v>109</v>
      </c>
      <c r="T126" s="17">
        <v>210.75</v>
      </c>
      <c r="U126" s="17">
        <v>202.75</v>
      </c>
      <c r="V126" s="17">
        <v>195</v>
      </c>
      <c r="W126" s="17">
        <v>87.5</v>
      </c>
      <c r="X126" s="17">
        <v>212.25</v>
      </c>
      <c r="Y126" s="17">
        <f>176.25+23/6</f>
        <v>180.08333333333334</v>
      </c>
      <c r="Z126" s="20">
        <f>SUM(C126:Y126)</f>
        <v>3581.5000000000005</v>
      </c>
      <c r="AA126" s="21">
        <f>COUNTIF(C127:Y127,"&gt;0")</f>
        <v>22</v>
      </c>
      <c r="AB126" s="21">
        <f>AA126*AB4</f>
        <v>3740</v>
      </c>
      <c r="AC126" s="21">
        <f>Z126-AB126</f>
        <v>-158.49999999999955</v>
      </c>
      <c r="AD126" s="21">
        <f>AD4</f>
        <v>24</v>
      </c>
      <c r="AE126" s="21">
        <f>AC126/175</f>
        <v>-0.90571428571428314</v>
      </c>
      <c r="AF126" s="21">
        <f>AH126/AD126</f>
        <v>395.83333333333331</v>
      </c>
      <c r="AG126" s="22">
        <f>AF126*AE126</f>
        <v>-358.51190476190374</v>
      </c>
      <c r="AH126" s="21">
        <v>9500</v>
      </c>
      <c r="AI126" s="23">
        <f>AH126+AG126</f>
        <v>9141.4880952380954</v>
      </c>
      <c r="AJ126" s="46" t="s">
        <v>53</v>
      </c>
      <c r="AK126" s="37"/>
      <c r="AL126" s="110" t="s">
        <v>64</v>
      </c>
    </row>
    <row r="127" spans="1:38" ht="27.75" customHeight="1" x14ac:dyDescent="0.4">
      <c r="A127" s="25"/>
      <c r="B127" s="1" t="s">
        <v>16</v>
      </c>
      <c r="C127" s="26">
        <v>16</v>
      </c>
      <c r="D127" s="108">
        <v>14.6</v>
      </c>
      <c r="E127" s="26">
        <v>15.4</v>
      </c>
      <c r="F127" s="26">
        <v>15</v>
      </c>
      <c r="G127" s="27">
        <v>0</v>
      </c>
      <c r="H127" s="26">
        <v>15</v>
      </c>
      <c r="I127" s="26">
        <v>15.5</v>
      </c>
      <c r="J127" s="26">
        <v>15</v>
      </c>
      <c r="K127" s="26">
        <v>15</v>
      </c>
      <c r="L127" s="26">
        <v>14</v>
      </c>
      <c r="M127" s="26">
        <v>9</v>
      </c>
      <c r="N127" s="26">
        <v>14.67</v>
      </c>
      <c r="O127" s="26">
        <v>15</v>
      </c>
      <c r="P127" s="26">
        <v>16.14</v>
      </c>
      <c r="Q127" s="26">
        <v>15</v>
      </c>
      <c r="R127" s="26">
        <v>13</v>
      </c>
      <c r="S127" s="26">
        <v>12.33</v>
      </c>
      <c r="T127" s="26">
        <v>15</v>
      </c>
      <c r="U127" s="26">
        <v>15.2</v>
      </c>
      <c r="V127" s="26">
        <v>14.6</v>
      </c>
      <c r="W127" s="26">
        <v>10</v>
      </c>
      <c r="X127" s="26">
        <v>15.6</v>
      </c>
      <c r="Y127" s="26">
        <v>14.5</v>
      </c>
    </row>
    <row r="128" spans="1:38" ht="27.75" customHeight="1" x14ac:dyDescent="0.4">
      <c r="A128" s="25"/>
      <c r="B128" s="1" t="s">
        <v>17</v>
      </c>
      <c r="C128" s="26">
        <f t="shared" ref="C128:Y128" si="48">IF(C127&gt;0,C126/C127,0)</f>
        <v>12.6875</v>
      </c>
      <c r="D128" s="108">
        <f t="shared" si="48"/>
        <v>13.510273972602739</v>
      </c>
      <c r="E128" s="26">
        <f t="shared" si="48"/>
        <v>12.922077922077921</v>
      </c>
      <c r="F128" s="26">
        <f t="shared" si="48"/>
        <v>13.15</v>
      </c>
      <c r="G128" s="27">
        <f t="shared" si="48"/>
        <v>0</v>
      </c>
      <c r="H128" s="26">
        <f t="shared" si="48"/>
        <v>11.822222222222223</v>
      </c>
      <c r="I128" s="26">
        <f t="shared" si="48"/>
        <v>9.6666666666666679</v>
      </c>
      <c r="J128" s="26">
        <f t="shared" si="48"/>
        <v>7.9</v>
      </c>
      <c r="K128" s="26">
        <f t="shared" si="48"/>
        <v>9.6333333333333329</v>
      </c>
      <c r="L128" s="26">
        <f t="shared" si="48"/>
        <v>11.071428571428571</v>
      </c>
      <c r="M128" s="26">
        <f t="shared" si="48"/>
        <v>6.4444444444444446</v>
      </c>
      <c r="N128" s="26">
        <f t="shared" si="48"/>
        <v>9.6568961599636438</v>
      </c>
      <c r="O128" s="26">
        <f t="shared" si="48"/>
        <v>14.833333333333334</v>
      </c>
      <c r="P128" s="26">
        <f t="shared" si="48"/>
        <v>11.400247831474596</v>
      </c>
      <c r="Q128" s="26">
        <f t="shared" si="48"/>
        <v>10.888888888888889</v>
      </c>
      <c r="R128" s="26">
        <f t="shared" si="48"/>
        <v>5.615384615384615</v>
      </c>
      <c r="S128" s="26">
        <f t="shared" si="48"/>
        <v>8.8402270884022709</v>
      </c>
      <c r="T128" s="26">
        <f t="shared" si="48"/>
        <v>14.05</v>
      </c>
      <c r="U128" s="26">
        <f t="shared" si="48"/>
        <v>13.338815789473685</v>
      </c>
      <c r="V128" s="26">
        <f t="shared" si="48"/>
        <v>13.356164383561644</v>
      </c>
      <c r="W128" s="26">
        <f t="shared" si="48"/>
        <v>8.75</v>
      </c>
      <c r="X128" s="26">
        <f t="shared" si="48"/>
        <v>13.605769230769232</v>
      </c>
      <c r="Y128" s="26">
        <f t="shared" si="48"/>
        <v>12.419540229885058</v>
      </c>
      <c r="Z128" s="2">
        <f>SUM(C128:Y128)</f>
        <v>245.56321468391286</v>
      </c>
      <c r="AB128" s="1" t="s">
        <v>18</v>
      </c>
      <c r="AD128" s="1">
        <f>AF126/11.5</f>
        <v>34.420289855072461</v>
      </c>
    </row>
    <row r="129" spans="1:38" ht="27.75" customHeight="1" x14ac:dyDescent="0.4">
      <c r="A129" s="25"/>
      <c r="B129" s="1" t="s">
        <v>19</v>
      </c>
      <c r="C129" s="26">
        <f t="shared" ref="C129:Y129" si="49">IF(C127&gt;0,11.5,0)</f>
        <v>11.5</v>
      </c>
      <c r="D129" s="108">
        <f t="shared" si="49"/>
        <v>11.5</v>
      </c>
      <c r="E129" s="26">
        <f t="shared" si="49"/>
        <v>11.5</v>
      </c>
      <c r="F129" s="26">
        <f t="shared" si="49"/>
        <v>11.5</v>
      </c>
      <c r="G129" s="27">
        <f t="shared" si="49"/>
        <v>0</v>
      </c>
      <c r="H129" s="26">
        <f t="shared" si="49"/>
        <v>11.5</v>
      </c>
      <c r="I129" s="26">
        <f t="shared" si="49"/>
        <v>11.5</v>
      </c>
      <c r="J129" s="26">
        <f t="shared" si="49"/>
        <v>11.5</v>
      </c>
      <c r="K129" s="26">
        <f t="shared" si="49"/>
        <v>11.5</v>
      </c>
      <c r="L129" s="26">
        <f t="shared" si="49"/>
        <v>11.5</v>
      </c>
      <c r="M129" s="26">
        <f t="shared" si="49"/>
        <v>11.5</v>
      </c>
      <c r="N129" s="26">
        <f t="shared" si="49"/>
        <v>11.5</v>
      </c>
      <c r="O129" s="26">
        <f t="shared" si="49"/>
        <v>11.5</v>
      </c>
      <c r="P129" s="26">
        <f t="shared" si="49"/>
        <v>11.5</v>
      </c>
      <c r="Q129" s="26">
        <f t="shared" si="49"/>
        <v>11.5</v>
      </c>
      <c r="R129" s="26">
        <f t="shared" si="49"/>
        <v>11.5</v>
      </c>
      <c r="S129" s="26">
        <f t="shared" si="49"/>
        <v>11.5</v>
      </c>
      <c r="T129" s="26">
        <f t="shared" si="49"/>
        <v>11.5</v>
      </c>
      <c r="U129" s="26">
        <f t="shared" si="49"/>
        <v>11.5</v>
      </c>
      <c r="V129" s="26">
        <f t="shared" si="49"/>
        <v>11.5</v>
      </c>
      <c r="W129" s="26">
        <f t="shared" si="49"/>
        <v>11.5</v>
      </c>
      <c r="X129" s="26">
        <f t="shared" si="49"/>
        <v>11.5</v>
      </c>
      <c r="Y129" s="26">
        <f t="shared" si="49"/>
        <v>11.5</v>
      </c>
      <c r="Z129" s="2">
        <f>SUM(C129:Y129)</f>
        <v>253</v>
      </c>
      <c r="AB129" s="1" t="s">
        <v>20</v>
      </c>
      <c r="AD129" s="1">
        <f>Z130*AD128</f>
        <v>-255.97630616966569</v>
      </c>
    </row>
    <row r="130" spans="1:38" ht="27.75" customHeight="1" x14ac:dyDescent="0.4">
      <c r="A130" s="28"/>
      <c r="B130" s="29" t="s">
        <v>21</v>
      </c>
      <c r="C130" s="30">
        <f t="shared" ref="C130:Y130" si="50">IF(C127&gt;0,C128-C129,0)</f>
        <v>1.1875</v>
      </c>
      <c r="D130" s="109">
        <f t="shared" si="50"/>
        <v>2.0102739726027394</v>
      </c>
      <c r="E130" s="30">
        <f t="shared" si="50"/>
        <v>1.4220779220779214</v>
      </c>
      <c r="F130" s="30">
        <f t="shared" si="50"/>
        <v>1.6500000000000004</v>
      </c>
      <c r="G130" s="31">
        <f t="shared" si="50"/>
        <v>0</v>
      </c>
      <c r="H130" s="30">
        <f t="shared" si="50"/>
        <v>0.32222222222222285</v>
      </c>
      <c r="I130" s="30">
        <f t="shared" si="50"/>
        <v>-1.8333333333333321</v>
      </c>
      <c r="J130" s="30">
        <f t="shared" si="50"/>
        <v>-3.5999999999999996</v>
      </c>
      <c r="K130" s="30">
        <f t="shared" si="50"/>
        <v>-1.8666666666666671</v>
      </c>
      <c r="L130" s="30">
        <f t="shared" si="50"/>
        <v>-0.42857142857142883</v>
      </c>
      <c r="M130" s="30">
        <f t="shared" si="50"/>
        <v>-5.0555555555555554</v>
      </c>
      <c r="N130" s="30">
        <f t="shared" si="50"/>
        <v>-1.8431038400363562</v>
      </c>
      <c r="O130" s="30">
        <f t="shared" si="50"/>
        <v>3.3333333333333339</v>
      </c>
      <c r="P130" s="30">
        <f t="shared" si="50"/>
        <v>-9.9752168525403917E-2</v>
      </c>
      <c r="Q130" s="30">
        <f t="shared" si="50"/>
        <v>-0.61111111111111072</v>
      </c>
      <c r="R130" s="30">
        <f t="shared" si="50"/>
        <v>-5.884615384615385</v>
      </c>
      <c r="S130" s="30">
        <f t="shared" si="50"/>
        <v>-2.6597729115977291</v>
      </c>
      <c r="T130" s="30">
        <f t="shared" si="50"/>
        <v>2.5500000000000007</v>
      </c>
      <c r="U130" s="30">
        <f t="shared" si="50"/>
        <v>1.838815789473685</v>
      </c>
      <c r="V130" s="30">
        <f t="shared" si="50"/>
        <v>1.8561643835616444</v>
      </c>
      <c r="W130" s="30">
        <f t="shared" si="50"/>
        <v>-2.75</v>
      </c>
      <c r="X130" s="30">
        <f t="shared" si="50"/>
        <v>2.1057692307692317</v>
      </c>
      <c r="Y130" s="30">
        <f t="shared" si="50"/>
        <v>0.91954022988505812</v>
      </c>
      <c r="Z130" s="2">
        <f>SUM(C130:Y130)</f>
        <v>-7.4367853160871302</v>
      </c>
      <c r="AE130">
        <f>AC130/175</f>
        <v>0</v>
      </c>
    </row>
    <row r="131" spans="1:38" ht="27.75" customHeight="1" x14ac:dyDescent="0.3"/>
    <row r="132" spans="1:38" ht="27.75" customHeight="1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38" ht="27.75" customHeight="1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38" ht="27.75" customHeight="1" x14ac:dyDescent="0.4">
      <c r="B134" s="1" t="s">
        <v>55</v>
      </c>
      <c r="C134" s="3">
        <v>1.04</v>
      </c>
      <c r="D134" s="4">
        <v>2.04</v>
      </c>
      <c r="E134" s="4">
        <v>3.04</v>
      </c>
      <c r="F134" s="4">
        <v>4.04</v>
      </c>
      <c r="G134" s="4">
        <v>6.04</v>
      </c>
      <c r="H134" s="4">
        <v>7.04</v>
      </c>
      <c r="I134" s="4">
        <v>8.0399999999999991</v>
      </c>
      <c r="J134" s="4">
        <v>9.0399999999999991</v>
      </c>
      <c r="K134" s="4">
        <v>10.039999999999999</v>
      </c>
      <c r="L134" s="4">
        <v>14.04</v>
      </c>
      <c r="M134" s="4">
        <v>16.04</v>
      </c>
      <c r="N134" s="4">
        <v>17.04</v>
      </c>
      <c r="O134" s="4">
        <v>18.04</v>
      </c>
      <c r="P134" s="4">
        <v>20.04</v>
      </c>
      <c r="Q134" s="4">
        <v>21.04</v>
      </c>
      <c r="R134" s="4">
        <v>22.04</v>
      </c>
      <c r="S134" s="4">
        <v>23.04</v>
      </c>
      <c r="T134" s="4">
        <v>24.04</v>
      </c>
      <c r="U134" s="4">
        <v>25.04</v>
      </c>
      <c r="V134" s="4">
        <v>27.04</v>
      </c>
      <c r="W134" s="4">
        <v>28.04</v>
      </c>
      <c r="X134" s="6">
        <v>29.04</v>
      </c>
      <c r="Y134" s="8">
        <v>30.04</v>
      </c>
      <c r="Z134" s="9" t="s">
        <v>1</v>
      </c>
      <c r="AA134" s="10" t="s">
        <v>2</v>
      </c>
      <c r="AB134" s="11" t="s">
        <v>3</v>
      </c>
      <c r="AC134" s="12" t="s">
        <v>4</v>
      </c>
      <c r="AD134" s="12" t="s">
        <v>5</v>
      </c>
      <c r="AE134" s="10" t="s">
        <v>6</v>
      </c>
      <c r="AF134" s="10" t="s">
        <v>7</v>
      </c>
      <c r="AG134" s="13" t="s">
        <v>8</v>
      </c>
      <c r="AH134" s="10" t="s">
        <v>9</v>
      </c>
      <c r="AI134" s="10" t="s">
        <v>10</v>
      </c>
      <c r="AJ134" s="14" t="s">
        <v>11</v>
      </c>
      <c r="AK134" s="10" t="s">
        <v>12</v>
      </c>
      <c r="AL134" s="104" t="s">
        <v>13</v>
      </c>
    </row>
    <row r="135" spans="1:38" ht="48" customHeight="1" x14ac:dyDescent="0.6">
      <c r="A135" s="15">
        <v>16</v>
      </c>
      <c r="B135" s="16" t="s">
        <v>56</v>
      </c>
      <c r="C135" s="17">
        <v>203</v>
      </c>
      <c r="D135" s="17">
        <v>197.25</v>
      </c>
      <c r="E135" s="18">
        <v>199</v>
      </c>
      <c r="F135" s="17">
        <v>197.25</v>
      </c>
      <c r="G135" s="17">
        <v>186</v>
      </c>
      <c r="H135" s="17">
        <f>166+68/6</f>
        <v>177.33333333333334</v>
      </c>
      <c r="I135" s="17">
        <f>149+5/6</f>
        <v>149.83333333333334</v>
      </c>
      <c r="J135" s="17">
        <v>118.5</v>
      </c>
      <c r="K135" s="17">
        <v>144.5</v>
      </c>
      <c r="L135" s="17">
        <f>154+6/6</f>
        <v>155</v>
      </c>
      <c r="M135" s="17">
        <v>58</v>
      </c>
      <c r="N135" s="17">
        <f>138.5+19/6</f>
        <v>141.66666666666666</v>
      </c>
      <c r="O135" s="17">
        <v>222.5</v>
      </c>
      <c r="P135" s="17">
        <v>184</v>
      </c>
      <c r="Q135" s="17">
        <f>160+20/6</f>
        <v>163.33333333333334</v>
      </c>
      <c r="R135" s="17">
        <v>73</v>
      </c>
      <c r="S135" s="17">
        <v>109</v>
      </c>
      <c r="T135" s="17">
        <v>210.75</v>
      </c>
      <c r="U135" s="17">
        <v>202.75</v>
      </c>
      <c r="V135" s="17">
        <v>195</v>
      </c>
      <c r="W135" s="17">
        <v>87.5</v>
      </c>
      <c r="X135" s="17">
        <v>212.25</v>
      </c>
      <c r="Y135" s="17">
        <f>176.25+23/6</f>
        <v>180.08333333333334</v>
      </c>
      <c r="Z135" s="20">
        <f>SUM(C135:Y135)</f>
        <v>3767.5</v>
      </c>
      <c r="AA135" s="21">
        <f>COUNTIF(C136:Y136,"&gt;0")</f>
        <v>23</v>
      </c>
      <c r="AB135" s="21">
        <f>AA135*AB4</f>
        <v>3910</v>
      </c>
      <c r="AC135" s="21">
        <f>Z135-AB135</f>
        <v>-142.5</v>
      </c>
      <c r="AD135" s="21">
        <f>AD4</f>
        <v>24</v>
      </c>
      <c r="AE135" s="21">
        <f>AC135/175</f>
        <v>-0.81428571428571428</v>
      </c>
      <c r="AF135" s="21">
        <f>AH135/AD135</f>
        <v>354.16666666666669</v>
      </c>
      <c r="AG135" s="22">
        <f>AF135*AE135</f>
        <v>-288.39285714285717</v>
      </c>
      <c r="AH135" s="21">
        <v>8500</v>
      </c>
      <c r="AI135" s="23">
        <f>AH135+AG135</f>
        <v>8211.6071428571431</v>
      </c>
      <c r="AJ135" s="16" t="s">
        <v>56</v>
      </c>
      <c r="AK135" s="24"/>
      <c r="AL135" s="24"/>
    </row>
    <row r="136" spans="1:38" ht="27.75" customHeight="1" x14ac:dyDescent="0.4">
      <c r="A136" s="25"/>
      <c r="B136" s="1" t="s">
        <v>16</v>
      </c>
      <c r="C136" s="26">
        <v>16</v>
      </c>
      <c r="D136" s="26">
        <v>14.6</v>
      </c>
      <c r="E136" s="26">
        <v>15.4</v>
      </c>
      <c r="F136" s="26">
        <v>15</v>
      </c>
      <c r="G136" s="26">
        <v>14.4</v>
      </c>
      <c r="H136" s="26">
        <v>15</v>
      </c>
      <c r="I136" s="26">
        <v>15.5</v>
      </c>
      <c r="J136" s="26">
        <v>15</v>
      </c>
      <c r="K136" s="26">
        <v>15</v>
      </c>
      <c r="L136" s="26">
        <v>14</v>
      </c>
      <c r="M136" s="26">
        <v>9</v>
      </c>
      <c r="N136" s="26">
        <v>14.67</v>
      </c>
      <c r="O136" s="26">
        <v>15</v>
      </c>
      <c r="P136" s="26">
        <v>16.14</v>
      </c>
      <c r="Q136" s="26">
        <v>15</v>
      </c>
      <c r="R136" s="26">
        <v>13</v>
      </c>
      <c r="S136" s="26">
        <v>12.33</v>
      </c>
      <c r="T136" s="26">
        <v>15</v>
      </c>
      <c r="U136" s="26">
        <v>15.2</v>
      </c>
      <c r="V136" s="26">
        <v>14.6</v>
      </c>
      <c r="W136" s="26">
        <v>10</v>
      </c>
      <c r="X136" s="26">
        <v>15.6</v>
      </c>
      <c r="Y136" s="26">
        <v>14.5</v>
      </c>
    </row>
    <row r="137" spans="1:38" ht="27.75" customHeight="1" x14ac:dyDescent="0.4">
      <c r="A137" s="25"/>
      <c r="B137" s="1" t="s">
        <v>17</v>
      </c>
      <c r="C137" s="26">
        <f t="shared" ref="C137:Y137" si="51">IF(C136&gt;0,C135/C136,0)</f>
        <v>12.6875</v>
      </c>
      <c r="D137" s="26">
        <f t="shared" si="51"/>
        <v>13.510273972602739</v>
      </c>
      <c r="E137" s="26">
        <f t="shared" si="51"/>
        <v>12.922077922077921</v>
      </c>
      <c r="F137" s="26">
        <f t="shared" si="51"/>
        <v>13.15</v>
      </c>
      <c r="G137" s="26">
        <f t="shared" si="51"/>
        <v>12.916666666666666</v>
      </c>
      <c r="H137" s="26">
        <f t="shared" si="51"/>
        <v>11.822222222222223</v>
      </c>
      <c r="I137" s="26">
        <f t="shared" si="51"/>
        <v>9.6666666666666679</v>
      </c>
      <c r="J137" s="26">
        <f t="shared" si="51"/>
        <v>7.9</v>
      </c>
      <c r="K137" s="26">
        <f t="shared" si="51"/>
        <v>9.6333333333333329</v>
      </c>
      <c r="L137" s="26">
        <f t="shared" si="51"/>
        <v>11.071428571428571</v>
      </c>
      <c r="M137" s="26">
        <f t="shared" si="51"/>
        <v>6.4444444444444446</v>
      </c>
      <c r="N137" s="26">
        <f t="shared" si="51"/>
        <v>9.6568961599636438</v>
      </c>
      <c r="O137" s="26">
        <f t="shared" si="51"/>
        <v>14.833333333333334</v>
      </c>
      <c r="P137" s="26">
        <f t="shared" si="51"/>
        <v>11.400247831474596</v>
      </c>
      <c r="Q137" s="26">
        <f t="shared" si="51"/>
        <v>10.888888888888889</v>
      </c>
      <c r="R137" s="26">
        <f t="shared" si="51"/>
        <v>5.615384615384615</v>
      </c>
      <c r="S137" s="26">
        <f t="shared" si="51"/>
        <v>8.8402270884022709</v>
      </c>
      <c r="T137" s="26">
        <f t="shared" si="51"/>
        <v>14.05</v>
      </c>
      <c r="U137" s="26">
        <f t="shared" si="51"/>
        <v>13.338815789473685</v>
      </c>
      <c r="V137" s="26">
        <f t="shared" si="51"/>
        <v>13.356164383561644</v>
      </c>
      <c r="W137" s="26">
        <f t="shared" si="51"/>
        <v>8.75</v>
      </c>
      <c r="X137" s="26">
        <f t="shared" si="51"/>
        <v>13.605769230769232</v>
      </c>
      <c r="Y137" s="26">
        <f t="shared" si="51"/>
        <v>12.419540229885058</v>
      </c>
      <c r="Z137" s="2">
        <f>SUM(C137:Y137)</f>
        <v>258.47988135057955</v>
      </c>
      <c r="AB137" s="1" t="s">
        <v>18</v>
      </c>
      <c r="AD137" s="1">
        <f>AF135/11.5</f>
        <v>30.797101449275363</v>
      </c>
    </row>
    <row r="138" spans="1:38" ht="27.75" customHeight="1" x14ac:dyDescent="0.4">
      <c r="A138" s="25"/>
      <c r="B138" s="1" t="s">
        <v>19</v>
      </c>
      <c r="C138" s="42">
        <f t="shared" ref="C138:Y138" si="52">IF(C136&gt;0,11.5,0)</f>
        <v>11.5</v>
      </c>
      <c r="D138" s="26">
        <f t="shared" si="52"/>
        <v>11.5</v>
      </c>
      <c r="E138" s="42">
        <f t="shared" si="52"/>
        <v>11.5</v>
      </c>
      <c r="F138" s="42">
        <f t="shared" si="52"/>
        <v>11.5</v>
      </c>
      <c r="G138" s="42">
        <f t="shared" si="52"/>
        <v>11.5</v>
      </c>
      <c r="H138" s="42">
        <f t="shared" si="52"/>
        <v>11.5</v>
      </c>
      <c r="I138" s="42">
        <f t="shared" si="52"/>
        <v>11.5</v>
      </c>
      <c r="J138" s="26">
        <f t="shared" si="52"/>
        <v>11.5</v>
      </c>
      <c r="K138" s="42">
        <f t="shared" si="52"/>
        <v>11.5</v>
      </c>
      <c r="L138" s="42">
        <f t="shared" si="52"/>
        <v>11.5</v>
      </c>
      <c r="M138" s="42">
        <f t="shared" si="52"/>
        <v>11.5</v>
      </c>
      <c r="N138" s="42">
        <f t="shared" si="52"/>
        <v>11.5</v>
      </c>
      <c r="O138" s="42">
        <f t="shared" si="52"/>
        <v>11.5</v>
      </c>
      <c r="P138" s="26">
        <f t="shared" si="52"/>
        <v>11.5</v>
      </c>
      <c r="Q138" s="26">
        <f t="shared" si="52"/>
        <v>11.5</v>
      </c>
      <c r="R138" s="42">
        <f t="shared" si="52"/>
        <v>11.5</v>
      </c>
      <c r="S138" s="42">
        <f t="shared" si="52"/>
        <v>11.5</v>
      </c>
      <c r="T138" s="42">
        <f t="shared" si="52"/>
        <v>11.5</v>
      </c>
      <c r="U138" s="42">
        <f t="shared" si="52"/>
        <v>11.5</v>
      </c>
      <c r="V138" s="42">
        <f t="shared" si="52"/>
        <v>11.5</v>
      </c>
      <c r="W138" s="42">
        <f t="shared" si="52"/>
        <v>11.5</v>
      </c>
      <c r="X138" s="42">
        <f t="shared" si="52"/>
        <v>11.5</v>
      </c>
      <c r="Y138" s="42">
        <f t="shared" si="52"/>
        <v>11.5</v>
      </c>
      <c r="Z138" s="2">
        <f>SUM(C138:Y138)</f>
        <v>264.5</v>
      </c>
      <c r="AB138" s="1" t="s">
        <v>20</v>
      </c>
      <c r="AD138" s="1">
        <f>Z139*AD137</f>
        <v>-185.40220478287662</v>
      </c>
    </row>
    <row r="139" spans="1:38" ht="27.75" customHeight="1" x14ac:dyDescent="0.4">
      <c r="A139" s="28"/>
      <c r="B139" s="29" t="s">
        <v>21</v>
      </c>
      <c r="C139" s="30">
        <f t="shared" ref="C139:Y139" si="53">IF(C136&gt;0,C137-C138,0)</f>
        <v>1.1875</v>
      </c>
      <c r="D139" s="30">
        <f t="shared" si="53"/>
        <v>2.0102739726027394</v>
      </c>
      <c r="E139" s="30">
        <f t="shared" si="53"/>
        <v>1.4220779220779214</v>
      </c>
      <c r="F139" s="30">
        <f t="shared" si="53"/>
        <v>1.6500000000000004</v>
      </c>
      <c r="G139" s="30">
        <f t="shared" si="53"/>
        <v>1.4166666666666661</v>
      </c>
      <c r="H139" s="30">
        <f t="shared" si="53"/>
        <v>0.32222222222222285</v>
      </c>
      <c r="I139" s="30">
        <f t="shared" si="53"/>
        <v>-1.8333333333333321</v>
      </c>
      <c r="J139" s="30">
        <f t="shared" si="53"/>
        <v>-3.5999999999999996</v>
      </c>
      <c r="K139" s="30">
        <f t="shared" si="53"/>
        <v>-1.8666666666666671</v>
      </c>
      <c r="L139" s="30">
        <f t="shared" si="53"/>
        <v>-0.42857142857142883</v>
      </c>
      <c r="M139" s="30">
        <f t="shared" si="53"/>
        <v>-5.0555555555555554</v>
      </c>
      <c r="N139" s="30">
        <f t="shared" si="53"/>
        <v>-1.8431038400363562</v>
      </c>
      <c r="O139" s="30">
        <f t="shared" si="53"/>
        <v>3.3333333333333339</v>
      </c>
      <c r="P139" s="30">
        <f t="shared" si="53"/>
        <v>-9.9752168525403917E-2</v>
      </c>
      <c r="Q139" s="30">
        <f t="shared" si="53"/>
        <v>-0.61111111111111072</v>
      </c>
      <c r="R139" s="30">
        <f t="shared" si="53"/>
        <v>-5.884615384615385</v>
      </c>
      <c r="S139" s="30">
        <f t="shared" si="53"/>
        <v>-2.6597729115977291</v>
      </c>
      <c r="T139" s="30">
        <f t="shared" si="53"/>
        <v>2.5500000000000007</v>
      </c>
      <c r="U139" s="30">
        <f t="shared" si="53"/>
        <v>1.838815789473685</v>
      </c>
      <c r="V139" s="30">
        <f t="shared" si="53"/>
        <v>1.8561643835616444</v>
      </c>
      <c r="W139" s="30">
        <f t="shared" si="53"/>
        <v>-2.75</v>
      </c>
      <c r="X139" s="30">
        <f t="shared" si="53"/>
        <v>2.1057692307692317</v>
      </c>
      <c r="Y139" s="30">
        <f t="shared" si="53"/>
        <v>0.91954022988505812</v>
      </c>
      <c r="Z139" s="2">
        <f>SUM(C139:Y139)</f>
        <v>-6.0201186494204642</v>
      </c>
      <c r="AE139">
        <f>AC139/175</f>
        <v>0</v>
      </c>
    </row>
    <row r="140" spans="1:38" ht="27.75" customHeight="1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Z140" s="2"/>
    </row>
    <row r="141" spans="1:38" ht="27.75" customHeight="1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N141"/>
  <sheetViews>
    <sheetView topLeftCell="A116" zoomScale="55" workbookViewId="0">
      <selection activeCell="AG138" sqref="AG138"/>
    </sheetView>
  </sheetViews>
  <sheetFormatPr defaultColWidth="8.6640625" defaultRowHeight="19.8" x14ac:dyDescent="0.4"/>
  <cols>
    <col min="1" max="1" width="8.6640625" style="1" customWidth="1"/>
    <col min="2" max="2" width="37.109375" style="1" customWidth="1"/>
    <col min="3" max="3" width="14.88671875" style="1" customWidth="1"/>
    <col min="4" max="4" width="18.5546875" style="1" customWidth="1"/>
    <col min="5" max="29" width="14.88671875" style="1" customWidth="1"/>
    <col min="30" max="30" width="10.33203125" style="1" customWidth="1"/>
    <col min="31" max="31" width="16.5546875" style="1" customWidth="1"/>
    <col min="32" max="32" width="10.6640625" style="1" bestFit="1" customWidth="1"/>
    <col min="33" max="33" width="12.44140625" style="1" customWidth="1"/>
    <col min="34" max="34" width="11.5546875" style="1" customWidth="1"/>
    <col min="35" max="35" width="8.6640625" style="1" customWidth="1"/>
    <col min="36" max="36" width="14.109375" style="1" customWidth="1"/>
    <col min="37" max="37" width="12" style="1" customWidth="1"/>
    <col min="38" max="38" width="13.5546875" style="1" customWidth="1"/>
    <col min="39" max="39" width="27.5546875" style="2" customWidth="1"/>
    <col min="40" max="40" width="36.109375" style="1" customWidth="1"/>
    <col min="41" max="42" width="8.6640625" style="1" customWidth="1"/>
    <col min="43" max="16384" width="8.6640625" style="1"/>
  </cols>
  <sheetData>
    <row r="4" spans="1:40" ht="27.75" customHeight="1" x14ac:dyDescent="0.4"/>
    <row r="5" spans="1:40" ht="27.75" customHeight="1" x14ac:dyDescent="0.4">
      <c r="B5" s="1" t="s">
        <v>0</v>
      </c>
      <c r="C5" s="3">
        <v>2.0299999999999998</v>
      </c>
      <c r="D5" s="4">
        <v>3.03</v>
      </c>
      <c r="E5" s="4">
        <v>4.03</v>
      </c>
      <c r="F5" s="4">
        <v>5.03</v>
      </c>
      <c r="G5" s="5">
        <v>6.03</v>
      </c>
      <c r="H5" s="5">
        <v>7.03</v>
      </c>
      <c r="I5" s="4">
        <v>9.0299999999999994</v>
      </c>
      <c r="J5" s="4">
        <v>10.029999999999999</v>
      </c>
      <c r="K5" s="4">
        <v>11.03</v>
      </c>
      <c r="L5" s="4">
        <v>12.03</v>
      </c>
      <c r="M5" s="4">
        <v>13.03</v>
      </c>
      <c r="N5" s="4">
        <v>14.03</v>
      </c>
      <c r="O5" s="4">
        <v>16.03</v>
      </c>
      <c r="P5" s="4">
        <v>17.03</v>
      </c>
      <c r="Q5" s="4">
        <v>18.03</v>
      </c>
      <c r="R5" s="4">
        <v>19.03</v>
      </c>
      <c r="S5" s="4">
        <v>20.03</v>
      </c>
      <c r="T5" s="4">
        <v>21.02</v>
      </c>
      <c r="U5" s="4">
        <v>23.03</v>
      </c>
      <c r="V5" s="4">
        <v>24.03</v>
      </c>
      <c r="W5" s="4">
        <v>25.03</v>
      </c>
      <c r="X5" s="6">
        <v>26.03</v>
      </c>
      <c r="Y5" s="7">
        <v>27.03</v>
      </c>
      <c r="Z5" s="8">
        <v>28.02</v>
      </c>
      <c r="AA5" s="7">
        <v>30.03</v>
      </c>
      <c r="AB5" s="8">
        <v>31.03</v>
      </c>
      <c r="AC5" s="9" t="s">
        <v>1</v>
      </c>
      <c r="AD5" s="10" t="s">
        <v>2</v>
      </c>
      <c r="AE5" s="11" t="s">
        <v>3</v>
      </c>
      <c r="AF5" s="12" t="s">
        <v>4</v>
      </c>
      <c r="AG5" s="12" t="s">
        <v>5</v>
      </c>
      <c r="AH5" s="10" t="s">
        <v>6</v>
      </c>
      <c r="AI5" s="10" t="s">
        <v>7</v>
      </c>
      <c r="AJ5" s="13" t="s">
        <v>8</v>
      </c>
      <c r="AK5" s="10" t="s">
        <v>9</v>
      </c>
      <c r="AL5" s="10" t="s">
        <v>10</v>
      </c>
      <c r="AM5" s="14" t="s">
        <v>11</v>
      </c>
      <c r="AN5" s="10" t="s">
        <v>12</v>
      </c>
    </row>
    <row r="6" spans="1:40" ht="44.25" customHeight="1" x14ac:dyDescent="0.6">
      <c r="A6" s="15">
        <v>1</v>
      </c>
      <c r="B6" s="16" t="s">
        <v>14</v>
      </c>
      <c r="C6" s="17">
        <v>193</v>
      </c>
      <c r="D6" s="17">
        <f>131.5+23/6</f>
        <v>135.33333333333334</v>
      </c>
      <c r="E6" s="18">
        <v>191</v>
      </c>
      <c r="F6" s="17">
        <v>191.75</v>
      </c>
      <c r="G6" s="19">
        <v>0</v>
      </c>
      <c r="H6" s="19">
        <v>0</v>
      </c>
      <c r="I6" s="17">
        <v>149</v>
      </c>
      <c r="J6" s="17">
        <v>47.5</v>
      </c>
      <c r="K6" s="17">
        <v>97.5</v>
      </c>
      <c r="L6" s="17">
        <v>146.5</v>
      </c>
      <c r="M6" s="17">
        <v>194.5</v>
      </c>
      <c r="N6" s="17">
        <v>188.5</v>
      </c>
      <c r="O6" s="17">
        <v>93</v>
      </c>
      <c r="P6" s="17">
        <v>73.5</v>
      </c>
      <c r="Q6" s="17">
        <f>84+6/6</f>
        <v>85</v>
      </c>
      <c r="R6" s="17">
        <v>144</v>
      </c>
      <c r="S6" s="17">
        <f>141.5+8/6</f>
        <v>142.83333333333334</v>
      </c>
      <c r="T6" s="17">
        <v>201</v>
      </c>
      <c r="U6" s="17">
        <v>191.75</v>
      </c>
      <c r="V6" s="17">
        <f>156.25+7/6</f>
        <v>157.41666666666666</v>
      </c>
      <c r="W6" s="17">
        <v>166</v>
      </c>
      <c r="X6" s="17">
        <v>144.5</v>
      </c>
      <c r="Y6" s="19">
        <v>0</v>
      </c>
      <c r="Z6" s="17">
        <v>200.5</v>
      </c>
      <c r="AA6" s="19">
        <v>0</v>
      </c>
      <c r="AB6" s="17">
        <v>141</v>
      </c>
      <c r="AC6" s="20">
        <f>SUM(C6:AB6)</f>
        <v>3275.0833333333335</v>
      </c>
      <c r="AD6" s="21">
        <v>22</v>
      </c>
      <c r="AE6" s="21">
        <f>AD6*166</f>
        <v>3652</v>
      </c>
      <c r="AF6" s="21">
        <f>AC6-AE6</f>
        <v>-376.91666666666652</v>
      </c>
      <c r="AG6" s="21">
        <v>26</v>
      </c>
      <c r="AH6" s="21">
        <f>AF6/175</f>
        <v>-2.1538095238095227</v>
      </c>
      <c r="AI6" s="21">
        <f>AK6/AG6</f>
        <v>365.38461538461536</v>
      </c>
      <c r="AJ6" s="22">
        <f>AI6*AH6</f>
        <v>-786.96886446886401</v>
      </c>
      <c r="AK6" s="21">
        <v>9500</v>
      </c>
      <c r="AL6" s="23">
        <f>AK6+AJ6</f>
        <v>8713.0311355311351</v>
      </c>
      <c r="AM6" s="16" t="s">
        <v>14</v>
      </c>
      <c r="AN6" s="24"/>
    </row>
    <row r="7" spans="1:40" ht="27.75" customHeight="1" x14ac:dyDescent="0.4">
      <c r="A7" s="25"/>
      <c r="B7" s="1" t="s">
        <v>16</v>
      </c>
      <c r="C7" s="26">
        <v>15</v>
      </c>
      <c r="D7" s="26">
        <v>14</v>
      </c>
      <c r="E7" s="26">
        <v>15</v>
      </c>
      <c r="F7" s="26">
        <v>16</v>
      </c>
      <c r="G7" s="27">
        <v>0</v>
      </c>
      <c r="H7" s="27">
        <v>0</v>
      </c>
      <c r="I7" s="26">
        <v>14</v>
      </c>
      <c r="J7" s="26">
        <v>9</v>
      </c>
      <c r="K7" s="26">
        <v>14</v>
      </c>
      <c r="L7" s="26">
        <v>14</v>
      </c>
      <c r="M7" s="26">
        <v>15</v>
      </c>
      <c r="N7" s="26">
        <v>16</v>
      </c>
      <c r="O7" s="26">
        <v>14</v>
      </c>
      <c r="P7" s="26">
        <v>8</v>
      </c>
      <c r="Q7" s="26">
        <v>10</v>
      </c>
      <c r="R7" s="26">
        <v>13</v>
      </c>
      <c r="S7" s="26">
        <v>15</v>
      </c>
      <c r="T7" s="26">
        <v>14</v>
      </c>
      <c r="U7" s="26">
        <v>15</v>
      </c>
      <c r="V7" s="26">
        <v>14</v>
      </c>
      <c r="W7" s="26">
        <v>13</v>
      </c>
      <c r="X7" s="26">
        <v>14</v>
      </c>
      <c r="Y7" s="27">
        <v>0</v>
      </c>
      <c r="Z7" s="26">
        <v>15</v>
      </c>
      <c r="AA7" s="27">
        <v>0</v>
      </c>
      <c r="AB7" s="26">
        <v>14</v>
      </c>
    </row>
    <row r="8" spans="1:40" ht="27.75" customHeight="1" x14ac:dyDescent="0.4">
      <c r="A8" s="25"/>
      <c r="B8" s="1" t="s">
        <v>17</v>
      </c>
      <c r="C8" s="26">
        <f>C6/C7</f>
        <v>12.866666666666667</v>
      </c>
      <c r="D8" s="26">
        <f>D6/D7</f>
        <v>9.6666666666666679</v>
      </c>
      <c r="E8" s="26">
        <f>E6/E7</f>
        <v>12.733333333333333</v>
      </c>
      <c r="F8" s="26">
        <f>F6/F7</f>
        <v>11.984375</v>
      </c>
      <c r="G8" s="27">
        <v>0</v>
      </c>
      <c r="H8" s="27">
        <v>0</v>
      </c>
      <c r="I8" s="26">
        <f t="shared" ref="I8:X8" si="0">I6/I7</f>
        <v>10.642857142857142</v>
      </c>
      <c r="J8" s="26">
        <f t="shared" si="0"/>
        <v>5.2777777777777777</v>
      </c>
      <c r="K8" s="26">
        <f t="shared" si="0"/>
        <v>6.9642857142857144</v>
      </c>
      <c r="L8" s="26">
        <f t="shared" si="0"/>
        <v>10.464285714285714</v>
      </c>
      <c r="M8" s="26">
        <f t="shared" si="0"/>
        <v>12.966666666666667</v>
      </c>
      <c r="N8" s="26">
        <f t="shared" si="0"/>
        <v>11.78125</v>
      </c>
      <c r="O8" s="26">
        <f t="shared" si="0"/>
        <v>6.6428571428571432</v>
      </c>
      <c r="P8" s="26">
        <f t="shared" si="0"/>
        <v>9.1875</v>
      </c>
      <c r="Q8" s="26">
        <f t="shared" si="0"/>
        <v>8.5</v>
      </c>
      <c r="R8" s="26">
        <f t="shared" si="0"/>
        <v>11.076923076923077</v>
      </c>
      <c r="S8" s="26">
        <f t="shared" si="0"/>
        <v>9.5222222222222221</v>
      </c>
      <c r="T8" s="26">
        <f t="shared" si="0"/>
        <v>14.357142857142858</v>
      </c>
      <c r="U8" s="26">
        <f t="shared" si="0"/>
        <v>12.783333333333333</v>
      </c>
      <c r="V8" s="26">
        <f t="shared" si="0"/>
        <v>11.244047619047619</v>
      </c>
      <c r="W8" s="26">
        <f t="shared" si="0"/>
        <v>12.76923076923077</v>
      </c>
      <c r="X8" s="26">
        <f t="shared" si="0"/>
        <v>10.321428571428571</v>
      </c>
      <c r="Y8" s="27">
        <v>0</v>
      </c>
      <c r="Z8" s="26">
        <f>Z6/Z7</f>
        <v>13.366666666666667</v>
      </c>
      <c r="AA8" s="27">
        <v>0</v>
      </c>
      <c r="AB8" s="26">
        <f>AB6/AB7</f>
        <v>10.071428571428571</v>
      </c>
      <c r="AC8" s="2">
        <f>SUM(C8:AB8)</f>
        <v>235.19094551282052</v>
      </c>
      <c r="AE8" s="1" t="s">
        <v>18</v>
      </c>
      <c r="AG8" s="1">
        <f>AI6/11.5</f>
        <v>31.77257525083612</v>
      </c>
    </row>
    <row r="9" spans="1:40" ht="27.75" customHeight="1" x14ac:dyDescent="0.4">
      <c r="A9" s="25"/>
      <c r="B9" s="1" t="s">
        <v>19</v>
      </c>
      <c r="C9" s="26">
        <v>11.5</v>
      </c>
      <c r="D9" s="26">
        <v>11.5</v>
      </c>
      <c r="E9" s="26">
        <v>11.5</v>
      </c>
      <c r="F9" s="26">
        <v>11.5</v>
      </c>
      <c r="G9" s="27">
        <v>0</v>
      </c>
      <c r="H9" s="27">
        <v>0</v>
      </c>
      <c r="I9" s="26">
        <v>11.5</v>
      </c>
      <c r="J9" s="26">
        <v>11.5</v>
      </c>
      <c r="K9" s="26">
        <v>11.5</v>
      </c>
      <c r="L9" s="26">
        <v>11.5</v>
      </c>
      <c r="M9" s="26">
        <v>11.5</v>
      </c>
      <c r="N9" s="26">
        <v>11.5</v>
      </c>
      <c r="O9" s="26">
        <v>11.5</v>
      </c>
      <c r="P9" s="26">
        <v>11.5</v>
      </c>
      <c r="Q9" s="26">
        <v>11.5</v>
      </c>
      <c r="R9" s="26">
        <v>11.5</v>
      </c>
      <c r="S9" s="26">
        <v>11.5</v>
      </c>
      <c r="T9" s="26">
        <v>11.5</v>
      </c>
      <c r="U9" s="26">
        <v>11.5</v>
      </c>
      <c r="V9" s="26">
        <v>11.5</v>
      </c>
      <c r="W9" s="26">
        <v>11.5</v>
      </c>
      <c r="X9" s="26">
        <v>11.5</v>
      </c>
      <c r="Y9" s="27">
        <v>0</v>
      </c>
      <c r="Z9" s="26">
        <v>11.5</v>
      </c>
      <c r="AA9" s="27">
        <v>0</v>
      </c>
      <c r="AB9" s="26">
        <v>11.5</v>
      </c>
      <c r="AC9" s="2">
        <f>SUM(C9:AB9)</f>
        <v>253</v>
      </c>
      <c r="AE9" s="1" t="s">
        <v>20</v>
      </c>
      <c r="AG9" s="1">
        <f>AC10*AG8</f>
        <v>-565.83952384015095</v>
      </c>
    </row>
    <row r="10" spans="1:40" ht="27.75" customHeight="1" x14ac:dyDescent="0.5">
      <c r="A10" s="28"/>
      <c r="B10" s="29" t="s">
        <v>21</v>
      </c>
      <c r="C10" s="30">
        <f t="shared" ref="C10:AB10" si="1">C8-C9</f>
        <v>1.3666666666666671</v>
      </c>
      <c r="D10" s="30">
        <f t="shared" si="1"/>
        <v>-1.8333333333333321</v>
      </c>
      <c r="E10" s="30">
        <f t="shared" si="1"/>
        <v>1.2333333333333325</v>
      </c>
      <c r="F10" s="30">
        <f t="shared" si="1"/>
        <v>0.484375</v>
      </c>
      <c r="G10" s="31">
        <f t="shared" si="1"/>
        <v>0</v>
      </c>
      <c r="H10" s="31">
        <f t="shared" si="1"/>
        <v>0</v>
      </c>
      <c r="I10" s="30">
        <f t="shared" si="1"/>
        <v>-0.85714285714285765</v>
      </c>
      <c r="J10" s="30">
        <f t="shared" si="1"/>
        <v>-6.2222222222222223</v>
      </c>
      <c r="K10" s="30">
        <f t="shared" si="1"/>
        <v>-4.5357142857142856</v>
      </c>
      <c r="L10" s="30">
        <f t="shared" si="1"/>
        <v>-1.0357142857142865</v>
      </c>
      <c r="M10" s="30">
        <f t="shared" si="1"/>
        <v>1.4666666666666668</v>
      </c>
      <c r="N10" s="30">
        <f t="shared" si="1"/>
        <v>0.28125</v>
      </c>
      <c r="O10" s="30">
        <f t="shared" si="1"/>
        <v>-4.8571428571428568</v>
      </c>
      <c r="P10" s="30">
        <f t="shared" si="1"/>
        <v>-2.3125</v>
      </c>
      <c r="Q10" s="30">
        <f t="shared" si="1"/>
        <v>-3</v>
      </c>
      <c r="R10" s="30">
        <f t="shared" si="1"/>
        <v>-0.42307692307692335</v>
      </c>
      <c r="S10" s="30">
        <f t="shared" si="1"/>
        <v>-1.9777777777777779</v>
      </c>
      <c r="T10" s="30">
        <f t="shared" si="1"/>
        <v>2.8571428571428577</v>
      </c>
      <c r="U10" s="30">
        <f t="shared" si="1"/>
        <v>1.2833333333333332</v>
      </c>
      <c r="V10" s="30">
        <f t="shared" si="1"/>
        <v>-0.25595238095238138</v>
      </c>
      <c r="W10" s="30">
        <f t="shared" si="1"/>
        <v>1.2692307692307701</v>
      </c>
      <c r="X10" s="30">
        <f t="shared" si="1"/>
        <v>-1.1785714285714288</v>
      </c>
      <c r="Y10" s="31">
        <f t="shared" si="1"/>
        <v>0</v>
      </c>
      <c r="Z10" s="30">
        <f t="shared" si="1"/>
        <v>1.8666666666666671</v>
      </c>
      <c r="AA10" s="31">
        <f t="shared" si="1"/>
        <v>0</v>
      </c>
      <c r="AB10" s="30">
        <f t="shared" si="1"/>
        <v>-1.4285714285714288</v>
      </c>
      <c r="AC10" s="2">
        <f>SUM(C10:AB10)</f>
        <v>-17.809054487179488</v>
      </c>
      <c r="AH10" s="32">
        <f>AF10/175</f>
        <v>0</v>
      </c>
    </row>
    <row r="11" spans="1:40" ht="27.75" customHeight="1" x14ac:dyDescent="0.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40" ht="27.75" customHeight="1" x14ac:dyDescent="0.4">
      <c r="C12" s="3">
        <v>2.0299999999999998</v>
      </c>
      <c r="D12" s="4">
        <v>3.03</v>
      </c>
      <c r="E12" s="4">
        <v>4.03</v>
      </c>
      <c r="F12" s="4">
        <v>5.03</v>
      </c>
      <c r="G12" s="4">
        <v>6.03</v>
      </c>
      <c r="H12" s="4">
        <v>7.03</v>
      </c>
      <c r="I12" s="4">
        <v>9.0299999999999994</v>
      </c>
      <c r="J12" s="4">
        <v>10.029999999999999</v>
      </c>
      <c r="K12" s="4">
        <v>11.03</v>
      </c>
      <c r="L12" s="4">
        <v>12.03</v>
      </c>
      <c r="M12" s="4">
        <v>13.03</v>
      </c>
      <c r="N12" s="4">
        <v>14.03</v>
      </c>
      <c r="O12" s="4">
        <v>16.03</v>
      </c>
      <c r="P12" s="4">
        <v>17.03</v>
      </c>
      <c r="Q12" s="5">
        <v>18.03</v>
      </c>
      <c r="R12" s="4">
        <v>19.03</v>
      </c>
      <c r="S12" s="4">
        <v>20.03</v>
      </c>
      <c r="T12" s="4">
        <v>21.02</v>
      </c>
      <c r="U12" s="4">
        <v>23.03</v>
      </c>
      <c r="V12" s="4">
        <v>24.03</v>
      </c>
      <c r="W12" s="4">
        <v>25.03</v>
      </c>
      <c r="X12" s="33">
        <v>26.03</v>
      </c>
      <c r="Y12" s="8">
        <v>27.03</v>
      </c>
      <c r="Z12" s="8">
        <v>28.02</v>
      </c>
      <c r="AA12" s="8">
        <v>30.03</v>
      </c>
      <c r="AB12" s="8">
        <v>31.03</v>
      </c>
      <c r="AC12" s="9" t="s">
        <v>1</v>
      </c>
      <c r="AD12" s="10" t="s">
        <v>2</v>
      </c>
      <c r="AE12" s="11" t="s">
        <v>3</v>
      </c>
      <c r="AF12" s="12" t="s">
        <v>4</v>
      </c>
      <c r="AG12" s="12" t="s">
        <v>5</v>
      </c>
      <c r="AH12" s="10" t="s">
        <v>6</v>
      </c>
      <c r="AI12" s="10" t="s">
        <v>7</v>
      </c>
      <c r="AJ12" s="13" t="s">
        <v>8</v>
      </c>
      <c r="AK12" s="10" t="s">
        <v>9</v>
      </c>
      <c r="AL12" s="10" t="s">
        <v>10</v>
      </c>
      <c r="AM12" s="14" t="s">
        <v>11</v>
      </c>
      <c r="AN12" s="10" t="s">
        <v>12</v>
      </c>
    </row>
    <row r="13" spans="1:40" ht="45.75" customHeight="1" x14ac:dyDescent="0.6">
      <c r="A13" s="34">
        <v>2</v>
      </c>
      <c r="B13" s="35" t="s">
        <v>22</v>
      </c>
      <c r="C13" s="17">
        <v>193</v>
      </c>
      <c r="D13" s="17">
        <f>131.5+23/6</f>
        <v>135.33333333333334</v>
      </c>
      <c r="E13" s="18">
        <v>191</v>
      </c>
      <c r="F13" s="17">
        <v>191.75</v>
      </c>
      <c r="G13" s="17">
        <v>183.5</v>
      </c>
      <c r="H13" s="17">
        <v>173</v>
      </c>
      <c r="I13" s="17">
        <v>149</v>
      </c>
      <c r="J13" s="17">
        <v>47.5</v>
      </c>
      <c r="K13" s="17">
        <v>97.5</v>
      </c>
      <c r="L13" s="17">
        <v>146.5</v>
      </c>
      <c r="M13" s="17">
        <v>194.5</v>
      </c>
      <c r="N13" s="17">
        <v>188.5</v>
      </c>
      <c r="O13" s="17">
        <v>93</v>
      </c>
      <c r="P13" s="17">
        <v>73.5</v>
      </c>
      <c r="Q13" s="19">
        <v>0</v>
      </c>
      <c r="R13" s="17">
        <v>144</v>
      </c>
      <c r="S13" s="17">
        <f>141.5+8/6</f>
        <v>142.83333333333334</v>
      </c>
      <c r="T13" s="17">
        <v>201</v>
      </c>
      <c r="U13" s="17">
        <v>191.75</v>
      </c>
      <c r="V13" s="17">
        <f>156.25+7/6</f>
        <v>157.41666666666666</v>
      </c>
      <c r="W13" s="17">
        <v>166</v>
      </c>
      <c r="X13" s="19">
        <v>0</v>
      </c>
      <c r="Y13" s="17">
        <f>104.5+30/6</f>
        <v>109.5</v>
      </c>
      <c r="Z13" s="17">
        <v>200.5</v>
      </c>
      <c r="AA13" s="17">
        <v>147</v>
      </c>
      <c r="AB13" s="17">
        <v>141</v>
      </c>
      <c r="AC13" s="20">
        <f>SUM(C13:AB13)</f>
        <v>3658.5833333333335</v>
      </c>
      <c r="AD13" s="21">
        <v>24</v>
      </c>
      <c r="AE13" s="21">
        <f>AD13*166</f>
        <v>3984</v>
      </c>
      <c r="AF13" s="21">
        <f>AC13-AE13</f>
        <v>-325.41666666666652</v>
      </c>
      <c r="AG13" s="21">
        <v>26</v>
      </c>
      <c r="AH13" s="21">
        <f>AF13/175</f>
        <v>-1.8595238095238087</v>
      </c>
      <c r="AI13" s="21">
        <f>AK13/AG13</f>
        <v>242.30769230769232</v>
      </c>
      <c r="AJ13" s="22">
        <f>AI13*AH13</f>
        <v>-450.57692307692292</v>
      </c>
      <c r="AK13" s="21">
        <v>6300</v>
      </c>
      <c r="AL13" s="23">
        <f>AK13+AJ13</f>
        <v>5849.4230769230771</v>
      </c>
      <c r="AM13" s="36" t="s">
        <v>22</v>
      </c>
      <c r="AN13" s="24"/>
    </row>
    <row r="14" spans="1:40" ht="27.75" customHeight="1" x14ac:dyDescent="0.4">
      <c r="A14" s="25"/>
      <c r="B14" s="1" t="s">
        <v>16</v>
      </c>
      <c r="C14" s="26">
        <v>15</v>
      </c>
      <c r="D14" s="26">
        <v>14</v>
      </c>
      <c r="E14" s="26">
        <v>15</v>
      </c>
      <c r="F14" s="26">
        <v>16</v>
      </c>
      <c r="G14" s="26">
        <v>15</v>
      </c>
      <c r="H14" s="26">
        <v>14</v>
      </c>
      <c r="I14" s="26">
        <v>14</v>
      </c>
      <c r="J14" s="26">
        <v>9</v>
      </c>
      <c r="K14" s="26">
        <v>14</v>
      </c>
      <c r="L14" s="26">
        <v>14</v>
      </c>
      <c r="M14" s="26">
        <v>15</v>
      </c>
      <c r="N14" s="26">
        <v>16</v>
      </c>
      <c r="O14" s="26">
        <v>14</v>
      </c>
      <c r="P14" s="26">
        <v>8</v>
      </c>
      <c r="Q14" s="27">
        <v>0</v>
      </c>
      <c r="R14" s="26">
        <v>13</v>
      </c>
      <c r="S14" s="26">
        <v>15</v>
      </c>
      <c r="T14" s="26">
        <v>14</v>
      </c>
      <c r="U14" s="26">
        <v>15</v>
      </c>
      <c r="V14" s="26">
        <v>14</v>
      </c>
      <c r="W14" s="26">
        <v>13</v>
      </c>
      <c r="X14" s="27">
        <v>0</v>
      </c>
      <c r="Y14" s="26">
        <v>14</v>
      </c>
      <c r="Z14" s="26">
        <v>15</v>
      </c>
      <c r="AA14" s="26">
        <v>14</v>
      </c>
      <c r="AB14" s="26">
        <v>14</v>
      </c>
    </row>
    <row r="15" spans="1:40" ht="27.75" customHeight="1" x14ac:dyDescent="0.4">
      <c r="A15" s="25"/>
      <c r="B15" s="1" t="s">
        <v>17</v>
      </c>
      <c r="C15" s="26">
        <f t="shared" ref="C15:P15" si="2">C13/C14</f>
        <v>12.866666666666667</v>
      </c>
      <c r="D15" s="26">
        <f t="shared" si="2"/>
        <v>9.6666666666666679</v>
      </c>
      <c r="E15" s="26">
        <f t="shared" si="2"/>
        <v>12.733333333333333</v>
      </c>
      <c r="F15" s="26">
        <f t="shared" si="2"/>
        <v>11.984375</v>
      </c>
      <c r="G15" s="26">
        <f t="shared" si="2"/>
        <v>12.233333333333333</v>
      </c>
      <c r="H15" s="26">
        <f t="shared" si="2"/>
        <v>12.357142857142858</v>
      </c>
      <c r="I15" s="26">
        <f t="shared" si="2"/>
        <v>10.642857142857142</v>
      </c>
      <c r="J15" s="26">
        <f t="shared" si="2"/>
        <v>5.2777777777777777</v>
      </c>
      <c r="K15" s="26">
        <f t="shared" si="2"/>
        <v>6.9642857142857144</v>
      </c>
      <c r="L15" s="26">
        <f t="shared" si="2"/>
        <v>10.464285714285714</v>
      </c>
      <c r="M15" s="26">
        <f t="shared" si="2"/>
        <v>12.966666666666667</v>
      </c>
      <c r="N15" s="26">
        <f t="shared" si="2"/>
        <v>11.78125</v>
      </c>
      <c r="O15" s="26">
        <f t="shared" si="2"/>
        <v>6.6428571428571432</v>
      </c>
      <c r="P15" s="26">
        <f t="shared" si="2"/>
        <v>9.1875</v>
      </c>
      <c r="Q15" s="27">
        <v>0</v>
      </c>
      <c r="R15" s="26">
        <f t="shared" ref="R15:W15" si="3">R13/R14</f>
        <v>11.076923076923077</v>
      </c>
      <c r="S15" s="26">
        <f t="shared" si="3"/>
        <v>9.5222222222222221</v>
      </c>
      <c r="T15" s="26">
        <f t="shared" si="3"/>
        <v>14.357142857142858</v>
      </c>
      <c r="U15" s="26">
        <f t="shared" si="3"/>
        <v>12.783333333333333</v>
      </c>
      <c r="V15" s="26">
        <f t="shared" si="3"/>
        <v>11.244047619047619</v>
      </c>
      <c r="W15" s="26">
        <f t="shared" si="3"/>
        <v>12.76923076923077</v>
      </c>
      <c r="X15" s="27">
        <v>0</v>
      </c>
      <c r="Y15" s="26">
        <f>Y13/Y14</f>
        <v>7.8214285714285712</v>
      </c>
      <c r="Z15" s="26">
        <f>Z13/Z14</f>
        <v>13.366666666666667</v>
      </c>
      <c r="AA15" s="26">
        <f>AA13/AA14</f>
        <v>10.5</v>
      </c>
      <c r="AB15" s="26">
        <f>AB13/AB14</f>
        <v>10.071428571428571</v>
      </c>
      <c r="AC15" s="2">
        <f>SUM(C15:AB15)</f>
        <v>259.2814217032967</v>
      </c>
      <c r="AE15" s="1" t="s">
        <v>18</v>
      </c>
      <c r="AG15" s="1">
        <f>AI13/11.429</f>
        <v>21.201128034621778</v>
      </c>
    </row>
    <row r="16" spans="1:40" ht="27.75" customHeight="1" x14ac:dyDescent="0.4">
      <c r="A16" s="25"/>
      <c r="B16" s="1" t="s">
        <v>19</v>
      </c>
      <c r="C16" s="26">
        <v>11.5</v>
      </c>
      <c r="D16" s="26">
        <v>11.5</v>
      </c>
      <c r="E16" s="26">
        <v>11.5</v>
      </c>
      <c r="F16" s="26">
        <v>11.5</v>
      </c>
      <c r="G16" s="26">
        <v>11.5</v>
      </c>
      <c r="H16" s="26">
        <v>11.5</v>
      </c>
      <c r="I16" s="26">
        <v>11.5</v>
      </c>
      <c r="J16" s="26">
        <v>11.5</v>
      </c>
      <c r="K16" s="26">
        <v>11.5</v>
      </c>
      <c r="L16" s="26">
        <v>11.5</v>
      </c>
      <c r="M16" s="26">
        <v>11.5</v>
      </c>
      <c r="N16" s="26">
        <v>11.5</v>
      </c>
      <c r="O16" s="26">
        <v>11.5</v>
      </c>
      <c r="P16" s="26">
        <v>11.5</v>
      </c>
      <c r="Q16" s="27">
        <v>0</v>
      </c>
      <c r="R16" s="26">
        <v>11.5</v>
      </c>
      <c r="S16" s="26">
        <v>11.5</v>
      </c>
      <c r="T16" s="26">
        <v>11.5</v>
      </c>
      <c r="U16" s="26">
        <v>11.5</v>
      </c>
      <c r="V16" s="26">
        <v>11.5</v>
      </c>
      <c r="W16" s="26">
        <v>11.5</v>
      </c>
      <c r="X16" s="27">
        <v>0</v>
      </c>
      <c r="Y16" s="26">
        <v>11.5</v>
      </c>
      <c r="Z16" s="26">
        <v>11.5</v>
      </c>
      <c r="AA16" s="26">
        <v>11.5</v>
      </c>
      <c r="AB16" s="26">
        <v>11.5</v>
      </c>
      <c r="AC16" s="2">
        <f>SUM(C16:AB16)</f>
        <v>276</v>
      </c>
      <c r="AE16" s="1" t="s">
        <v>20</v>
      </c>
      <c r="AG16" s="1">
        <f>AC17*AG15</f>
        <v>-354.45271902525553</v>
      </c>
    </row>
    <row r="17" spans="1:40" ht="27.75" customHeight="1" x14ac:dyDescent="0.4">
      <c r="A17" s="28"/>
      <c r="B17" s="29" t="s">
        <v>21</v>
      </c>
      <c r="C17" s="30">
        <f t="shared" ref="C17:AB17" si="4">C15-C16</f>
        <v>1.3666666666666671</v>
      </c>
      <c r="D17" s="30">
        <f t="shared" si="4"/>
        <v>-1.8333333333333321</v>
      </c>
      <c r="E17" s="30">
        <f t="shared" si="4"/>
        <v>1.2333333333333325</v>
      </c>
      <c r="F17" s="30">
        <f t="shared" si="4"/>
        <v>0.484375</v>
      </c>
      <c r="G17" s="30">
        <f t="shared" si="4"/>
        <v>0.7333333333333325</v>
      </c>
      <c r="H17" s="30">
        <f t="shared" si="4"/>
        <v>0.85714285714285765</v>
      </c>
      <c r="I17" s="30">
        <f t="shared" si="4"/>
        <v>-0.85714285714285765</v>
      </c>
      <c r="J17" s="30">
        <f t="shared" si="4"/>
        <v>-6.2222222222222223</v>
      </c>
      <c r="K17" s="30">
        <f t="shared" si="4"/>
        <v>-4.5357142857142856</v>
      </c>
      <c r="L17" s="30">
        <f t="shared" si="4"/>
        <v>-1.0357142857142865</v>
      </c>
      <c r="M17" s="30">
        <f t="shared" si="4"/>
        <v>1.4666666666666668</v>
      </c>
      <c r="N17" s="30">
        <f t="shared" si="4"/>
        <v>0.28125</v>
      </c>
      <c r="O17" s="30">
        <f t="shared" si="4"/>
        <v>-4.8571428571428568</v>
      </c>
      <c r="P17" s="30">
        <f t="shared" si="4"/>
        <v>-2.3125</v>
      </c>
      <c r="Q17" s="31">
        <f t="shared" si="4"/>
        <v>0</v>
      </c>
      <c r="R17" s="30">
        <f t="shared" si="4"/>
        <v>-0.42307692307692335</v>
      </c>
      <c r="S17" s="30">
        <f t="shared" si="4"/>
        <v>-1.9777777777777779</v>
      </c>
      <c r="T17" s="30">
        <f t="shared" si="4"/>
        <v>2.8571428571428577</v>
      </c>
      <c r="U17" s="30">
        <f t="shared" si="4"/>
        <v>1.2833333333333332</v>
      </c>
      <c r="V17" s="30">
        <f t="shared" si="4"/>
        <v>-0.25595238095238138</v>
      </c>
      <c r="W17" s="30">
        <f t="shared" si="4"/>
        <v>1.2692307692307701</v>
      </c>
      <c r="X17" s="31">
        <f t="shared" si="4"/>
        <v>0</v>
      </c>
      <c r="Y17" s="30">
        <f t="shared" si="4"/>
        <v>-3.6785714285714288</v>
      </c>
      <c r="Z17" s="30">
        <f t="shared" si="4"/>
        <v>1.8666666666666671</v>
      </c>
      <c r="AA17" s="30">
        <f t="shared" si="4"/>
        <v>-1</v>
      </c>
      <c r="AB17" s="30">
        <f t="shared" si="4"/>
        <v>-1.4285714285714288</v>
      </c>
      <c r="AC17" s="2">
        <f>SUM(C17:AB17)</f>
        <v>-16.718578296703299</v>
      </c>
    </row>
    <row r="18" spans="1:40" ht="27.75" customHeight="1" x14ac:dyDescent="0.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40" ht="27.75" customHeight="1" x14ac:dyDescent="0.4"/>
    <row r="20" spans="1:40" ht="27.75" customHeight="1" x14ac:dyDescent="0.4">
      <c r="B20" s="1" t="s">
        <v>23</v>
      </c>
      <c r="C20" s="3">
        <v>2.0299999999999998</v>
      </c>
      <c r="D20" s="4">
        <v>3.03</v>
      </c>
      <c r="E20" s="4">
        <v>4.03</v>
      </c>
      <c r="F20" s="4">
        <v>5.03</v>
      </c>
      <c r="G20" s="4">
        <v>6.03</v>
      </c>
      <c r="H20" s="4">
        <v>7.03</v>
      </c>
      <c r="I20" s="4">
        <v>9.0299999999999994</v>
      </c>
      <c r="J20" s="4">
        <v>10.029999999999999</v>
      </c>
      <c r="K20" s="4">
        <v>11.03</v>
      </c>
      <c r="L20" s="4">
        <v>12.03</v>
      </c>
      <c r="M20" s="5">
        <v>13.03</v>
      </c>
      <c r="N20" s="4">
        <v>14.03</v>
      </c>
      <c r="O20" s="4">
        <v>16.03</v>
      </c>
      <c r="P20" s="4">
        <v>17.03</v>
      </c>
      <c r="Q20" s="4">
        <v>18.03</v>
      </c>
      <c r="R20" s="4">
        <v>19.03</v>
      </c>
      <c r="S20" s="4">
        <v>20.03</v>
      </c>
      <c r="T20" s="4">
        <v>21.02</v>
      </c>
      <c r="U20" s="4">
        <v>23.03</v>
      </c>
      <c r="V20" s="4">
        <v>24.03</v>
      </c>
      <c r="W20" s="5">
        <v>25.03</v>
      </c>
      <c r="X20" s="6">
        <v>26.03</v>
      </c>
      <c r="Y20" s="8">
        <v>27.03</v>
      </c>
      <c r="Z20" s="8">
        <v>28.02</v>
      </c>
      <c r="AA20" s="8">
        <v>30.03</v>
      </c>
      <c r="AB20" s="8">
        <v>31.03</v>
      </c>
      <c r="AC20" s="9" t="s">
        <v>1</v>
      </c>
      <c r="AD20" s="10" t="s">
        <v>2</v>
      </c>
      <c r="AE20" s="11" t="s">
        <v>3</v>
      </c>
      <c r="AF20" s="12" t="s">
        <v>4</v>
      </c>
      <c r="AG20" s="12" t="s">
        <v>5</v>
      </c>
      <c r="AH20" s="10" t="s">
        <v>6</v>
      </c>
      <c r="AI20" s="10" t="s">
        <v>7</v>
      </c>
      <c r="AJ20" s="13" t="s">
        <v>8</v>
      </c>
      <c r="AK20" s="10" t="s">
        <v>9</v>
      </c>
      <c r="AL20" s="10" t="s">
        <v>10</v>
      </c>
      <c r="AM20" s="14" t="s">
        <v>11</v>
      </c>
      <c r="AN20" s="10" t="s">
        <v>12</v>
      </c>
    </row>
    <row r="21" spans="1:40" ht="48" customHeight="1" x14ac:dyDescent="0.6">
      <c r="A21" s="15">
        <v>3</v>
      </c>
      <c r="B21" s="16" t="s">
        <v>24</v>
      </c>
      <c r="C21" s="17">
        <v>193</v>
      </c>
      <c r="D21" s="17">
        <f>131.5+23/6</f>
        <v>135.33333333333334</v>
      </c>
      <c r="E21" s="18">
        <v>191</v>
      </c>
      <c r="F21" s="17">
        <v>191.75</v>
      </c>
      <c r="G21" s="17">
        <v>183.5</v>
      </c>
      <c r="H21" s="17">
        <v>173</v>
      </c>
      <c r="I21" s="17">
        <v>149</v>
      </c>
      <c r="J21" s="17">
        <v>47.5</v>
      </c>
      <c r="K21" s="17">
        <v>97.5</v>
      </c>
      <c r="L21" s="17">
        <v>146.5</v>
      </c>
      <c r="M21" s="19">
        <v>0</v>
      </c>
      <c r="N21" s="17">
        <v>188.5</v>
      </c>
      <c r="O21" s="17">
        <v>93</v>
      </c>
      <c r="P21" s="17">
        <v>73.5</v>
      </c>
      <c r="Q21" s="17">
        <f>84+6/6</f>
        <v>85</v>
      </c>
      <c r="R21" s="17">
        <v>144</v>
      </c>
      <c r="S21" s="17">
        <f>141.5+8/6</f>
        <v>142.83333333333334</v>
      </c>
      <c r="T21" s="17">
        <v>201</v>
      </c>
      <c r="U21" s="17">
        <v>191.75</v>
      </c>
      <c r="V21" s="17">
        <f>156.25+7/6</f>
        <v>157.41666666666666</v>
      </c>
      <c r="W21" s="19">
        <v>0</v>
      </c>
      <c r="X21" s="17">
        <v>144.5</v>
      </c>
      <c r="Y21" s="17">
        <f>104.5+30/6</f>
        <v>109.5</v>
      </c>
      <c r="Z21" s="17">
        <v>200.5</v>
      </c>
      <c r="AA21" s="17">
        <v>147</v>
      </c>
      <c r="AB21" s="17">
        <v>141</v>
      </c>
      <c r="AC21" s="20">
        <f>SUM(C21:AB21)</f>
        <v>3527.5833333333335</v>
      </c>
      <c r="AD21" s="21">
        <v>24</v>
      </c>
      <c r="AE21" s="21">
        <f>AD21*166</f>
        <v>3984</v>
      </c>
      <c r="AF21" s="21">
        <f>AC21-AE21</f>
        <v>-456.41666666666652</v>
      </c>
      <c r="AG21" s="21">
        <v>26</v>
      </c>
      <c r="AH21" s="21">
        <f>AF21/175</f>
        <v>-2.6080952380952374</v>
      </c>
      <c r="AI21" s="21">
        <f>AK21/AG21</f>
        <v>365.38461538461536</v>
      </c>
      <c r="AJ21" s="22">
        <f>AI21*AH21</f>
        <v>-952.95787545787516</v>
      </c>
      <c r="AK21" s="21">
        <v>9500</v>
      </c>
      <c r="AL21" s="23">
        <f>AK21+AJ21</f>
        <v>8547.0421245421239</v>
      </c>
      <c r="AM21" s="16" t="s">
        <v>24</v>
      </c>
      <c r="AN21" s="37"/>
    </row>
    <row r="22" spans="1:40" ht="27.75" customHeight="1" x14ac:dyDescent="0.4">
      <c r="A22" s="25"/>
      <c r="B22" s="2"/>
      <c r="C22" s="26">
        <v>15</v>
      </c>
      <c r="D22" s="26">
        <v>14</v>
      </c>
      <c r="E22" s="26">
        <v>15</v>
      </c>
      <c r="F22" s="26">
        <v>16</v>
      </c>
      <c r="G22" s="26">
        <v>15</v>
      </c>
      <c r="H22" s="26">
        <v>14</v>
      </c>
      <c r="I22" s="26">
        <v>14</v>
      </c>
      <c r="J22" s="26">
        <v>9</v>
      </c>
      <c r="K22" s="26">
        <v>14</v>
      </c>
      <c r="L22" s="26">
        <v>14</v>
      </c>
      <c r="M22" s="27">
        <v>0</v>
      </c>
      <c r="N22" s="26">
        <v>16</v>
      </c>
      <c r="O22" s="26">
        <v>14</v>
      </c>
      <c r="P22" s="26">
        <v>8</v>
      </c>
      <c r="Q22" s="26">
        <v>10</v>
      </c>
      <c r="R22" s="26">
        <v>13</v>
      </c>
      <c r="S22" s="26">
        <v>15</v>
      </c>
      <c r="T22" s="26">
        <v>14</v>
      </c>
      <c r="U22" s="26">
        <v>15</v>
      </c>
      <c r="V22" s="26">
        <v>14</v>
      </c>
      <c r="W22" s="27">
        <v>0</v>
      </c>
      <c r="X22" s="26">
        <v>14</v>
      </c>
      <c r="Y22" s="26">
        <v>14</v>
      </c>
      <c r="Z22" s="26">
        <v>15</v>
      </c>
      <c r="AA22" s="26">
        <v>14</v>
      </c>
      <c r="AB22" s="26">
        <v>14</v>
      </c>
    </row>
    <row r="23" spans="1:40" ht="27.75" customHeight="1" x14ac:dyDescent="0.4">
      <c r="A23" s="25"/>
      <c r="B23" s="2" t="s">
        <v>17</v>
      </c>
      <c r="C23" s="26">
        <f t="shared" ref="C23:L23" si="5">C21/C22</f>
        <v>12.866666666666667</v>
      </c>
      <c r="D23" s="26">
        <f t="shared" si="5"/>
        <v>9.6666666666666679</v>
      </c>
      <c r="E23" s="26">
        <f t="shared" si="5"/>
        <v>12.733333333333333</v>
      </c>
      <c r="F23" s="26">
        <f t="shared" si="5"/>
        <v>11.984375</v>
      </c>
      <c r="G23" s="26">
        <f t="shared" si="5"/>
        <v>12.233333333333333</v>
      </c>
      <c r="H23" s="26">
        <f t="shared" si="5"/>
        <v>12.357142857142858</v>
      </c>
      <c r="I23" s="26">
        <f t="shared" si="5"/>
        <v>10.642857142857142</v>
      </c>
      <c r="J23" s="26">
        <f t="shared" si="5"/>
        <v>5.2777777777777777</v>
      </c>
      <c r="K23" s="26">
        <f t="shared" si="5"/>
        <v>6.9642857142857144</v>
      </c>
      <c r="L23" s="26">
        <f t="shared" si="5"/>
        <v>10.464285714285714</v>
      </c>
      <c r="M23" s="27">
        <v>0</v>
      </c>
      <c r="N23" s="26">
        <f t="shared" ref="N23:V23" si="6">N21/N22</f>
        <v>11.78125</v>
      </c>
      <c r="O23" s="26">
        <f t="shared" si="6"/>
        <v>6.6428571428571432</v>
      </c>
      <c r="P23" s="26">
        <f t="shared" si="6"/>
        <v>9.1875</v>
      </c>
      <c r="Q23" s="26">
        <f t="shared" si="6"/>
        <v>8.5</v>
      </c>
      <c r="R23" s="26">
        <f t="shared" si="6"/>
        <v>11.076923076923077</v>
      </c>
      <c r="S23" s="26">
        <f t="shared" si="6"/>
        <v>9.5222222222222221</v>
      </c>
      <c r="T23" s="26">
        <f t="shared" si="6"/>
        <v>14.357142857142858</v>
      </c>
      <c r="U23" s="26">
        <f t="shared" si="6"/>
        <v>12.783333333333333</v>
      </c>
      <c r="V23" s="26">
        <f t="shared" si="6"/>
        <v>11.244047619047619</v>
      </c>
      <c r="W23" s="27">
        <v>0</v>
      </c>
      <c r="X23" s="26">
        <f>X21/X22</f>
        <v>10.321428571428571</v>
      </c>
      <c r="Y23" s="26">
        <f>Y21/Y22</f>
        <v>7.8214285714285712</v>
      </c>
      <c r="Z23" s="26">
        <f>Z21/Z22</f>
        <v>13.366666666666667</v>
      </c>
      <c r="AA23" s="26">
        <f>AA21/AA22</f>
        <v>10.5</v>
      </c>
      <c r="AB23" s="26">
        <f>AB21/AB22</f>
        <v>10.071428571428571</v>
      </c>
      <c r="AC23" s="2">
        <f>SUM(C23:AB23)</f>
        <v>252.36695283882784</v>
      </c>
      <c r="AE23" s="1" t="s">
        <v>18</v>
      </c>
      <c r="AG23" s="1">
        <f>AI21/11.5</f>
        <v>31.77257525083612</v>
      </c>
    </row>
    <row r="24" spans="1:40" ht="27.75" customHeight="1" x14ac:dyDescent="0.4">
      <c r="A24" s="25"/>
      <c r="B24" s="2" t="s">
        <v>19</v>
      </c>
      <c r="C24" s="26">
        <v>11.5</v>
      </c>
      <c r="D24" s="26">
        <v>11.5</v>
      </c>
      <c r="E24" s="26">
        <v>11.5</v>
      </c>
      <c r="F24" s="26">
        <v>11.5</v>
      </c>
      <c r="G24" s="26">
        <v>11.5</v>
      </c>
      <c r="H24" s="26">
        <v>11.5</v>
      </c>
      <c r="I24" s="26">
        <v>11.5</v>
      </c>
      <c r="J24" s="26">
        <v>11.5</v>
      </c>
      <c r="K24" s="26">
        <v>11.5</v>
      </c>
      <c r="L24" s="26">
        <v>11.5</v>
      </c>
      <c r="M24" s="27">
        <v>0</v>
      </c>
      <c r="N24" s="26">
        <v>11.5</v>
      </c>
      <c r="O24" s="26">
        <v>11.5</v>
      </c>
      <c r="P24" s="26">
        <v>11.5</v>
      </c>
      <c r="Q24" s="26">
        <v>11.5</v>
      </c>
      <c r="R24" s="26">
        <v>11.5</v>
      </c>
      <c r="S24" s="26">
        <v>11.5</v>
      </c>
      <c r="T24" s="26">
        <v>11.5</v>
      </c>
      <c r="U24" s="26">
        <v>11.5</v>
      </c>
      <c r="V24" s="26">
        <v>11.5</v>
      </c>
      <c r="W24" s="27">
        <v>0</v>
      </c>
      <c r="X24" s="26">
        <v>11.5</v>
      </c>
      <c r="Y24" s="26">
        <v>11.5</v>
      </c>
      <c r="Z24" s="26">
        <v>11.5</v>
      </c>
      <c r="AA24" s="26">
        <v>11.5</v>
      </c>
      <c r="AB24" s="26">
        <v>11.5</v>
      </c>
      <c r="AC24" s="2">
        <f>SUM(C24:AB24)</f>
        <v>276</v>
      </c>
      <c r="AE24" s="1" t="s">
        <v>20</v>
      </c>
      <c r="AG24" s="1">
        <f>AC25*AG23</f>
        <v>-750.88276933490158</v>
      </c>
    </row>
    <row r="25" spans="1:40" ht="27.75" customHeight="1" x14ac:dyDescent="0.4">
      <c r="A25" s="28"/>
      <c r="B25" s="30" t="s">
        <v>21</v>
      </c>
      <c r="C25" s="30">
        <f t="shared" ref="C25:AB25" si="7">C23-C24</f>
        <v>1.3666666666666671</v>
      </c>
      <c r="D25" s="30">
        <f t="shared" si="7"/>
        <v>-1.8333333333333321</v>
      </c>
      <c r="E25" s="30">
        <f t="shared" si="7"/>
        <v>1.2333333333333325</v>
      </c>
      <c r="F25" s="30">
        <f t="shared" si="7"/>
        <v>0.484375</v>
      </c>
      <c r="G25" s="30">
        <f t="shared" si="7"/>
        <v>0.7333333333333325</v>
      </c>
      <c r="H25" s="30">
        <f t="shared" si="7"/>
        <v>0.85714285714285765</v>
      </c>
      <c r="I25" s="30">
        <f t="shared" si="7"/>
        <v>-0.85714285714285765</v>
      </c>
      <c r="J25" s="30">
        <f t="shared" si="7"/>
        <v>-6.2222222222222223</v>
      </c>
      <c r="K25" s="30">
        <f t="shared" si="7"/>
        <v>-4.5357142857142856</v>
      </c>
      <c r="L25" s="30">
        <f t="shared" si="7"/>
        <v>-1.0357142857142865</v>
      </c>
      <c r="M25" s="31">
        <f t="shared" si="7"/>
        <v>0</v>
      </c>
      <c r="N25" s="30">
        <f t="shared" si="7"/>
        <v>0.28125</v>
      </c>
      <c r="O25" s="30">
        <f t="shared" si="7"/>
        <v>-4.8571428571428568</v>
      </c>
      <c r="P25" s="30">
        <f t="shared" si="7"/>
        <v>-2.3125</v>
      </c>
      <c r="Q25" s="30">
        <f t="shared" si="7"/>
        <v>-3</v>
      </c>
      <c r="R25" s="30">
        <f t="shared" si="7"/>
        <v>-0.42307692307692335</v>
      </c>
      <c r="S25" s="30">
        <f t="shared" si="7"/>
        <v>-1.9777777777777779</v>
      </c>
      <c r="T25" s="30">
        <f t="shared" si="7"/>
        <v>2.8571428571428577</v>
      </c>
      <c r="U25" s="30">
        <f t="shared" si="7"/>
        <v>1.2833333333333332</v>
      </c>
      <c r="V25" s="30">
        <f t="shared" si="7"/>
        <v>-0.25595238095238138</v>
      </c>
      <c r="W25" s="31">
        <f t="shared" si="7"/>
        <v>0</v>
      </c>
      <c r="X25" s="30">
        <f t="shared" si="7"/>
        <v>-1.1785714285714288</v>
      </c>
      <c r="Y25" s="30">
        <f t="shared" si="7"/>
        <v>-3.6785714285714288</v>
      </c>
      <c r="Z25" s="30">
        <f t="shared" si="7"/>
        <v>1.8666666666666671</v>
      </c>
      <c r="AA25" s="30">
        <f t="shared" si="7"/>
        <v>-1</v>
      </c>
      <c r="AB25" s="30">
        <f t="shared" si="7"/>
        <v>-1.4285714285714288</v>
      </c>
      <c r="AC25" s="2">
        <f>SUM(C25:AB25)</f>
        <v>-23.633047161172165</v>
      </c>
      <c r="AJ25" s="1">
        <f>25*160</f>
        <v>4000</v>
      </c>
    </row>
    <row r="26" spans="1:40" ht="27.75" customHeight="1" x14ac:dyDescent="0.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40" ht="27.75" customHeight="1" x14ac:dyDescent="0.4">
      <c r="B27" s="1" t="s">
        <v>26</v>
      </c>
      <c r="C27" s="3">
        <v>2.0299999999999998</v>
      </c>
      <c r="D27" s="4">
        <v>3.03</v>
      </c>
      <c r="E27" s="4">
        <v>4.03</v>
      </c>
      <c r="F27" s="4">
        <v>5.03</v>
      </c>
      <c r="G27" s="4">
        <v>6.03</v>
      </c>
      <c r="H27" s="4">
        <v>7.03</v>
      </c>
      <c r="I27" s="5">
        <v>9.0299999999999994</v>
      </c>
      <c r="J27" s="4">
        <v>10.029999999999999</v>
      </c>
      <c r="K27" s="4">
        <v>11.03</v>
      </c>
      <c r="L27" s="4">
        <v>12.03</v>
      </c>
      <c r="M27" s="4">
        <v>13.03</v>
      </c>
      <c r="N27" s="4">
        <v>14.03</v>
      </c>
      <c r="O27" s="5">
        <v>16.03</v>
      </c>
      <c r="P27" s="5">
        <v>17.03</v>
      </c>
      <c r="Q27" s="4">
        <v>18.03</v>
      </c>
      <c r="R27" s="4">
        <v>19.03</v>
      </c>
      <c r="S27" s="4">
        <v>20.03</v>
      </c>
      <c r="T27" s="4">
        <v>21.02</v>
      </c>
      <c r="U27" s="4">
        <v>23.03</v>
      </c>
      <c r="V27" s="4">
        <v>24.03</v>
      </c>
      <c r="W27" s="4">
        <v>25.03</v>
      </c>
      <c r="X27" s="6">
        <v>26.03</v>
      </c>
      <c r="Y27" s="8">
        <v>27.03</v>
      </c>
      <c r="Z27" s="8">
        <v>28.02</v>
      </c>
      <c r="AA27" s="8">
        <v>30.03</v>
      </c>
      <c r="AB27" s="8">
        <v>31.03</v>
      </c>
      <c r="AC27" s="9" t="s">
        <v>1</v>
      </c>
      <c r="AD27" s="10" t="s">
        <v>2</v>
      </c>
      <c r="AE27" s="11" t="s">
        <v>3</v>
      </c>
      <c r="AF27" s="12" t="s">
        <v>4</v>
      </c>
      <c r="AG27" s="12" t="s">
        <v>5</v>
      </c>
      <c r="AH27" s="10" t="s">
        <v>6</v>
      </c>
      <c r="AI27" s="10" t="s">
        <v>7</v>
      </c>
      <c r="AJ27" s="13" t="s">
        <v>8</v>
      </c>
      <c r="AK27" s="10" t="s">
        <v>9</v>
      </c>
      <c r="AL27" s="10" t="s">
        <v>10</v>
      </c>
      <c r="AM27" s="14" t="s">
        <v>11</v>
      </c>
      <c r="AN27" s="10" t="s">
        <v>12</v>
      </c>
    </row>
    <row r="28" spans="1:40" ht="44.25" customHeight="1" x14ac:dyDescent="0.6">
      <c r="A28" s="15">
        <v>4</v>
      </c>
      <c r="B28" s="16" t="s">
        <v>27</v>
      </c>
      <c r="C28" s="17">
        <v>193</v>
      </c>
      <c r="D28" s="17">
        <f>131.5+23/6</f>
        <v>135.33333333333334</v>
      </c>
      <c r="E28" s="18">
        <v>191</v>
      </c>
      <c r="F28" s="17">
        <v>191.75</v>
      </c>
      <c r="G28" s="17">
        <v>183.5</v>
      </c>
      <c r="H28" s="17">
        <v>173</v>
      </c>
      <c r="I28" s="19">
        <v>0</v>
      </c>
      <c r="J28" s="17">
        <v>47.5</v>
      </c>
      <c r="K28" s="17">
        <v>97.5</v>
      </c>
      <c r="L28" s="17">
        <v>146.5</v>
      </c>
      <c r="M28" s="17">
        <v>194.5</v>
      </c>
      <c r="N28" s="17">
        <v>188.5</v>
      </c>
      <c r="O28" s="19">
        <v>0</v>
      </c>
      <c r="P28" s="19">
        <v>0</v>
      </c>
      <c r="Q28" s="17">
        <f>84+6/6</f>
        <v>85</v>
      </c>
      <c r="R28" s="17">
        <v>144</v>
      </c>
      <c r="S28" s="17">
        <f>141.5+8/6</f>
        <v>142.83333333333334</v>
      </c>
      <c r="T28" s="17">
        <v>201</v>
      </c>
      <c r="U28" s="17">
        <v>191.75</v>
      </c>
      <c r="V28" s="17">
        <f>156.25+7/6</f>
        <v>157.41666666666666</v>
      </c>
      <c r="W28" s="17">
        <v>166</v>
      </c>
      <c r="X28" s="17">
        <v>144.5</v>
      </c>
      <c r="Y28" s="17">
        <f>104.5+30/6</f>
        <v>109.5</v>
      </c>
      <c r="Z28" s="17">
        <v>200.5</v>
      </c>
      <c r="AA28" s="17">
        <v>147</v>
      </c>
      <c r="AB28" s="17">
        <v>141</v>
      </c>
      <c r="AC28" s="20">
        <f>SUM(C28:AB28)</f>
        <v>3572.5833333333335</v>
      </c>
      <c r="AD28" s="21">
        <v>23</v>
      </c>
      <c r="AE28" s="21">
        <f>AD28*166</f>
        <v>3818</v>
      </c>
      <c r="AF28" s="21">
        <f>AC28-AE28</f>
        <v>-245.41666666666652</v>
      </c>
      <c r="AG28" s="21">
        <v>26</v>
      </c>
      <c r="AH28" s="21">
        <f>AF28/175</f>
        <v>-1.4023809523809516</v>
      </c>
      <c r="AI28" s="21">
        <f>AK28/AG28</f>
        <v>288.46153846153845</v>
      </c>
      <c r="AJ28" s="22">
        <f>AI28*AH28</f>
        <v>-404.53296703296678</v>
      </c>
      <c r="AK28" s="21">
        <v>7500</v>
      </c>
      <c r="AL28" s="23">
        <f>AK28+AJ28</f>
        <v>7095.4670329670334</v>
      </c>
      <c r="AM28" s="16" t="s">
        <v>27</v>
      </c>
      <c r="AN28" s="24"/>
    </row>
    <row r="29" spans="1:40" ht="27.75" customHeight="1" x14ac:dyDescent="0.4">
      <c r="A29" s="25"/>
      <c r="B29" s="1" t="s">
        <v>16</v>
      </c>
      <c r="C29" s="26">
        <v>15</v>
      </c>
      <c r="D29" s="26">
        <v>14</v>
      </c>
      <c r="E29" s="26">
        <v>15</v>
      </c>
      <c r="F29" s="26">
        <v>16</v>
      </c>
      <c r="G29" s="26">
        <v>15</v>
      </c>
      <c r="H29" s="26">
        <v>14</v>
      </c>
      <c r="I29" s="27">
        <v>0</v>
      </c>
      <c r="J29" s="26">
        <v>9</v>
      </c>
      <c r="K29" s="26">
        <v>14</v>
      </c>
      <c r="L29" s="26">
        <v>14</v>
      </c>
      <c r="M29" s="26">
        <v>15</v>
      </c>
      <c r="N29" s="26">
        <v>16</v>
      </c>
      <c r="O29" s="27">
        <v>0</v>
      </c>
      <c r="P29" s="27">
        <v>0</v>
      </c>
      <c r="Q29" s="26">
        <v>10</v>
      </c>
      <c r="R29" s="26">
        <v>13</v>
      </c>
      <c r="S29" s="26">
        <v>15</v>
      </c>
      <c r="T29" s="26">
        <v>14</v>
      </c>
      <c r="U29" s="26">
        <v>15</v>
      </c>
      <c r="V29" s="26">
        <v>14</v>
      </c>
      <c r="W29" s="26">
        <v>13</v>
      </c>
      <c r="X29" s="26">
        <v>14</v>
      </c>
      <c r="Y29" s="26">
        <v>14</v>
      </c>
      <c r="Z29" s="26">
        <v>15</v>
      </c>
      <c r="AA29" s="26">
        <v>14</v>
      </c>
      <c r="AB29" s="26">
        <v>14</v>
      </c>
    </row>
    <row r="30" spans="1:40" ht="27.75" customHeight="1" x14ac:dyDescent="0.4">
      <c r="A30" s="25"/>
      <c r="B30" s="1" t="s">
        <v>17</v>
      </c>
      <c r="C30" s="26">
        <f t="shared" ref="C30:H30" si="8">C28/C29</f>
        <v>12.866666666666667</v>
      </c>
      <c r="D30" s="26">
        <f t="shared" si="8"/>
        <v>9.6666666666666679</v>
      </c>
      <c r="E30" s="26">
        <f t="shared" si="8"/>
        <v>12.733333333333333</v>
      </c>
      <c r="F30" s="26">
        <f t="shared" si="8"/>
        <v>11.984375</v>
      </c>
      <c r="G30" s="26">
        <f t="shared" si="8"/>
        <v>12.233333333333333</v>
      </c>
      <c r="H30" s="26">
        <f t="shared" si="8"/>
        <v>12.357142857142858</v>
      </c>
      <c r="I30" s="27">
        <v>0</v>
      </c>
      <c r="J30" s="26">
        <f>J28/J29</f>
        <v>5.2777777777777777</v>
      </c>
      <c r="K30" s="26">
        <f>K28/K29</f>
        <v>6.9642857142857144</v>
      </c>
      <c r="L30" s="26">
        <f>L28/L29</f>
        <v>10.464285714285714</v>
      </c>
      <c r="M30" s="26">
        <f>M28/M29</f>
        <v>12.966666666666667</v>
      </c>
      <c r="N30" s="26">
        <f>N28/N29</f>
        <v>11.78125</v>
      </c>
      <c r="O30" s="27">
        <v>0</v>
      </c>
      <c r="P30" s="27">
        <v>0</v>
      </c>
      <c r="Q30" s="26">
        <f t="shared" ref="Q30:AB30" si="9">Q28/Q29</f>
        <v>8.5</v>
      </c>
      <c r="R30" s="26">
        <f t="shared" si="9"/>
        <v>11.076923076923077</v>
      </c>
      <c r="S30" s="26">
        <f t="shared" si="9"/>
        <v>9.5222222222222221</v>
      </c>
      <c r="T30" s="26">
        <f t="shared" si="9"/>
        <v>14.357142857142858</v>
      </c>
      <c r="U30" s="26">
        <f t="shared" si="9"/>
        <v>12.783333333333333</v>
      </c>
      <c r="V30" s="26">
        <f t="shared" si="9"/>
        <v>11.244047619047619</v>
      </c>
      <c r="W30" s="26">
        <f t="shared" si="9"/>
        <v>12.76923076923077</v>
      </c>
      <c r="X30" s="26">
        <f t="shared" si="9"/>
        <v>10.321428571428571</v>
      </c>
      <c r="Y30" s="26">
        <f t="shared" si="9"/>
        <v>7.8214285714285712</v>
      </c>
      <c r="Z30" s="26">
        <f t="shared" si="9"/>
        <v>13.366666666666667</v>
      </c>
      <c r="AA30" s="26">
        <f t="shared" si="9"/>
        <v>10.5</v>
      </c>
      <c r="AB30" s="26">
        <f t="shared" si="9"/>
        <v>10.071428571428571</v>
      </c>
      <c r="AC30" s="2">
        <f>SUM(C30:AB30)</f>
        <v>251.62963598901101</v>
      </c>
      <c r="AE30" s="1" t="s">
        <v>18</v>
      </c>
      <c r="AG30" s="1">
        <f>AI28/11.5</f>
        <v>25.083612040133779</v>
      </c>
    </row>
    <row r="31" spans="1:40" ht="27.75" customHeight="1" x14ac:dyDescent="0.4">
      <c r="A31" s="25"/>
      <c r="B31" s="1" t="s">
        <v>19</v>
      </c>
      <c r="C31" s="26">
        <v>11.5</v>
      </c>
      <c r="D31" s="26">
        <v>11.5</v>
      </c>
      <c r="E31" s="26">
        <v>11.5</v>
      </c>
      <c r="F31" s="26">
        <v>11.5</v>
      </c>
      <c r="G31" s="26">
        <v>11.5</v>
      </c>
      <c r="H31" s="26">
        <v>11.5</v>
      </c>
      <c r="I31" s="27">
        <v>0</v>
      </c>
      <c r="J31" s="26">
        <v>11.5</v>
      </c>
      <c r="K31" s="26">
        <v>11.5</v>
      </c>
      <c r="L31" s="26">
        <v>11.5</v>
      </c>
      <c r="M31" s="26">
        <v>11.5</v>
      </c>
      <c r="N31" s="26">
        <v>11.5</v>
      </c>
      <c r="O31" s="27">
        <v>0</v>
      </c>
      <c r="P31" s="27">
        <v>0</v>
      </c>
      <c r="Q31" s="26">
        <v>11.5</v>
      </c>
      <c r="R31" s="26">
        <v>11.5</v>
      </c>
      <c r="S31" s="26">
        <v>11.5</v>
      </c>
      <c r="T31" s="26">
        <v>11.5</v>
      </c>
      <c r="U31" s="26">
        <v>11.5</v>
      </c>
      <c r="V31" s="26">
        <v>11.5</v>
      </c>
      <c r="W31" s="26">
        <v>11.5</v>
      </c>
      <c r="X31" s="26">
        <v>11.5</v>
      </c>
      <c r="Y31" s="26">
        <v>11.5</v>
      </c>
      <c r="Z31" s="26">
        <v>11.5</v>
      </c>
      <c r="AA31" s="26">
        <v>11.5</v>
      </c>
      <c r="AB31" s="26">
        <v>11.5</v>
      </c>
      <c r="AC31" s="2">
        <f>SUM(C31:AB31)</f>
        <v>264.5</v>
      </c>
      <c r="AE31" s="1" t="s">
        <v>20</v>
      </c>
      <c r="AG31" s="1">
        <f>AC32*AG30</f>
        <v>-322.83521766694844</v>
      </c>
    </row>
    <row r="32" spans="1:40" ht="27.75" customHeight="1" x14ac:dyDescent="0.4">
      <c r="A32" s="28"/>
      <c r="B32" s="29" t="s">
        <v>21</v>
      </c>
      <c r="C32" s="30">
        <f t="shared" ref="C32:AB32" si="10">C30-C31</f>
        <v>1.3666666666666671</v>
      </c>
      <c r="D32" s="30">
        <f t="shared" si="10"/>
        <v>-1.8333333333333321</v>
      </c>
      <c r="E32" s="30">
        <f t="shared" si="10"/>
        <v>1.2333333333333325</v>
      </c>
      <c r="F32" s="30">
        <f t="shared" si="10"/>
        <v>0.484375</v>
      </c>
      <c r="G32" s="30">
        <f t="shared" si="10"/>
        <v>0.7333333333333325</v>
      </c>
      <c r="H32" s="30">
        <f t="shared" si="10"/>
        <v>0.85714285714285765</v>
      </c>
      <c r="I32" s="31">
        <f t="shared" si="10"/>
        <v>0</v>
      </c>
      <c r="J32" s="30">
        <f t="shared" si="10"/>
        <v>-6.2222222222222223</v>
      </c>
      <c r="K32" s="30">
        <f t="shared" si="10"/>
        <v>-4.5357142857142856</v>
      </c>
      <c r="L32" s="30">
        <f t="shared" si="10"/>
        <v>-1.0357142857142865</v>
      </c>
      <c r="M32" s="30">
        <f t="shared" si="10"/>
        <v>1.4666666666666668</v>
      </c>
      <c r="N32" s="30">
        <f t="shared" si="10"/>
        <v>0.28125</v>
      </c>
      <c r="O32" s="31">
        <f t="shared" si="10"/>
        <v>0</v>
      </c>
      <c r="P32" s="31">
        <f t="shared" si="10"/>
        <v>0</v>
      </c>
      <c r="Q32" s="30">
        <f t="shared" si="10"/>
        <v>-3</v>
      </c>
      <c r="R32" s="30">
        <f t="shared" si="10"/>
        <v>-0.42307692307692335</v>
      </c>
      <c r="S32" s="30">
        <f t="shared" si="10"/>
        <v>-1.9777777777777779</v>
      </c>
      <c r="T32" s="30">
        <f t="shared" si="10"/>
        <v>2.8571428571428577</v>
      </c>
      <c r="U32" s="30">
        <f t="shared" si="10"/>
        <v>1.2833333333333332</v>
      </c>
      <c r="V32" s="30">
        <f t="shared" si="10"/>
        <v>-0.25595238095238138</v>
      </c>
      <c r="W32" s="30">
        <f t="shared" si="10"/>
        <v>1.2692307692307701</v>
      </c>
      <c r="X32" s="30">
        <f t="shared" si="10"/>
        <v>-1.1785714285714288</v>
      </c>
      <c r="Y32" s="30">
        <f t="shared" si="10"/>
        <v>-3.6785714285714288</v>
      </c>
      <c r="Z32" s="30">
        <f t="shared" si="10"/>
        <v>1.8666666666666671</v>
      </c>
      <c r="AA32" s="30">
        <f t="shared" si="10"/>
        <v>-1</v>
      </c>
      <c r="AB32" s="30">
        <f t="shared" si="10"/>
        <v>-1.4285714285714288</v>
      </c>
      <c r="AC32" s="2">
        <f>SUM(C32:AB32)</f>
        <v>-12.870364010989011</v>
      </c>
    </row>
    <row r="33" spans="1:40" ht="27.75" customHeight="1" x14ac:dyDescent="0.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40" ht="27.75" hidden="1" customHeight="1" x14ac:dyDescent="0.4">
      <c r="B34" s="1" t="s">
        <v>29</v>
      </c>
      <c r="C34" s="3">
        <v>1.1100000000000001</v>
      </c>
      <c r="D34" s="4">
        <v>3.11</v>
      </c>
      <c r="E34" s="4">
        <v>4.1100000000000003</v>
      </c>
      <c r="F34" s="4">
        <v>5.1100000000000003</v>
      </c>
      <c r="G34" s="4">
        <v>6.11</v>
      </c>
      <c r="H34" s="4">
        <v>7.11</v>
      </c>
      <c r="I34" s="4">
        <v>8.11</v>
      </c>
      <c r="J34" s="4">
        <v>10.11</v>
      </c>
      <c r="K34" s="4">
        <v>11.11</v>
      </c>
      <c r="L34" s="4">
        <v>12.11</v>
      </c>
      <c r="M34" s="4">
        <v>13.11</v>
      </c>
      <c r="N34" s="4">
        <v>14.11</v>
      </c>
      <c r="O34" s="4">
        <v>15.11</v>
      </c>
      <c r="P34" s="4">
        <v>17.11</v>
      </c>
      <c r="Q34" s="4">
        <v>18.11</v>
      </c>
      <c r="R34" s="4">
        <v>19.11</v>
      </c>
      <c r="S34" s="4">
        <v>20.11</v>
      </c>
      <c r="T34" s="4">
        <v>21.11</v>
      </c>
      <c r="U34" s="4">
        <v>22.11</v>
      </c>
      <c r="V34" s="4">
        <v>24.11</v>
      </c>
      <c r="W34" s="4">
        <v>25.11</v>
      </c>
      <c r="X34" s="6">
        <v>26.11</v>
      </c>
      <c r="Y34" s="8">
        <v>27.11</v>
      </c>
      <c r="Z34" s="8">
        <v>27.11</v>
      </c>
      <c r="AA34" s="8">
        <v>27.11</v>
      </c>
      <c r="AB34" s="8">
        <v>27.11</v>
      </c>
      <c r="AC34" s="9" t="s">
        <v>1</v>
      </c>
      <c r="AD34" s="10" t="s">
        <v>2</v>
      </c>
      <c r="AE34" s="11" t="s">
        <v>3</v>
      </c>
      <c r="AF34" s="12" t="s">
        <v>4</v>
      </c>
      <c r="AG34" s="12" t="s">
        <v>5</v>
      </c>
      <c r="AH34" s="10" t="s">
        <v>6</v>
      </c>
      <c r="AI34" s="10" t="s">
        <v>7</v>
      </c>
      <c r="AJ34" s="13" t="s">
        <v>8</v>
      </c>
      <c r="AK34" s="10" t="s">
        <v>9</v>
      </c>
      <c r="AL34" s="10" t="s">
        <v>10</v>
      </c>
      <c r="AM34" s="14" t="s">
        <v>11</v>
      </c>
      <c r="AN34" s="10" t="s">
        <v>12</v>
      </c>
    </row>
    <row r="35" spans="1:40" ht="41.25" hidden="1" customHeight="1" x14ac:dyDescent="0.6">
      <c r="A35" s="15">
        <v>0</v>
      </c>
      <c r="B35" s="16"/>
      <c r="C35" s="38">
        <v>233</v>
      </c>
      <c r="D35" s="39">
        <v>191</v>
      </c>
      <c r="E35" s="40">
        <f>194.75+112/6</f>
        <v>213.41666666666666</v>
      </c>
      <c r="F35" s="40">
        <v>195.75</v>
      </c>
      <c r="G35" s="40">
        <f>197.5+70/6</f>
        <v>209.16666666666666</v>
      </c>
      <c r="H35" s="40">
        <v>196.25</v>
      </c>
      <c r="I35" s="40">
        <v>204.5</v>
      </c>
      <c r="J35" s="40">
        <f>190.25+232/6</f>
        <v>228.91666666666666</v>
      </c>
      <c r="K35" s="40">
        <v>241</v>
      </c>
      <c r="L35" s="40">
        <f>207.45+116/6</f>
        <v>226.78333333333333</v>
      </c>
      <c r="M35" s="40">
        <v>207.5</v>
      </c>
      <c r="N35" s="40">
        <v>219.5</v>
      </c>
      <c r="O35" s="40">
        <v>203.5</v>
      </c>
      <c r="P35" s="40">
        <v>197</v>
      </c>
      <c r="Q35" s="40">
        <f>193+44/6</f>
        <v>200.33333333333334</v>
      </c>
      <c r="R35" s="40">
        <v>192.25</v>
      </c>
      <c r="S35" s="40">
        <f>209.25+85/6</f>
        <v>223.41666666666666</v>
      </c>
      <c r="T35" s="40">
        <v>211.25</v>
      </c>
      <c r="U35" s="40">
        <v>216.25</v>
      </c>
      <c r="V35" s="40">
        <f>187.5+45/6</f>
        <v>195</v>
      </c>
      <c r="W35" s="40">
        <v>220.75</v>
      </c>
      <c r="X35" s="40">
        <v>229</v>
      </c>
      <c r="Y35" s="40">
        <f>197.5+95/6</f>
        <v>213.33333333333334</v>
      </c>
      <c r="Z35" s="40">
        <f>197.5+95/6</f>
        <v>213.33333333333334</v>
      </c>
      <c r="AA35" s="40">
        <f>197.5+95/6</f>
        <v>213.33333333333334</v>
      </c>
      <c r="AB35" s="40">
        <f>197.5+95/6</f>
        <v>213.33333333333334</v>
      </c>
      <c r="AC35" s="20">
        <f>SUM(C35:AB35)</f>
        <v>5508.866666666665</v>
      </c>
      <c r="AD35" s="21">
        <v>27</v>
      </c>
      <c r="AE35" s="21">
        <f>AD35*175</f>
        <v>4725</v>
      </c>
      <c r="AF35" s="21">
        <f>AC35-AE35</f>
        <v>783.86666666666497</v>
      </c>
      <c r="AG35" s="21">
        <v>27</v>
      </c>
      <c r="AH35" s="21">
        <f>AF35/175</f>
        <v>4.4792380952380855</v>
      </c>
      <c r="AI35" s="21">
        <f>AK35/AG35</f>
        <v>240.74074074074073</v>
      </c>
      <c r="AJ35" s="22">
        <f>AI35*AH35</f>
        <v>1078.3350970017614</v>
      </c>
      <c r="AK35" s="21">
        <v>6500</v>
      </c>
      <c r="AL35" s="23">
        <f>AK35+AJ35</f>
        <v>7578.3350970017618</v>
      </c>
      <c r="AM35" s="41"/>
      <c r="AN35" s="24"/>
    </row>
    <row r="36" spans="1:40" ht="27.75" hidden="1" customHeight="1" x14ac:dyDescent="0.4">
      <c r="A36" s="25"/>
      <c r="B36" s="1" t="s">
        <v>16</v>
      </c>
      <c r="C36" s="42">
        <v>16.5</v>
      </c>
      <c r="D36" s="42">
        <v>15</v>
      </c>
      <c r="E36" s="42">
        <v>16</v>
      </c>
      <c r="F36" s="42">
        <v>16</v>
      </c>
      <c r="G36" s="42">
        <v>16</v>
      </c>
      <c r="H36" s="42">
        <v>16</v>
      </c>
      <c r="I36" s="42">
        <v>14.5</v>
      </c>
      <c r="J36" s="42">
        <v>15.66</v>
      </c>
      <c r="K36" s="42">
        <v>16</v>
      </c>
      <c r="L36" s="42">
        <v>17</v>
      </c>
      <c r="M36" s="42">
        <v>16</v>
      </c>
      <c r="N36" s="42">
        <v>16.5</v>
      </c>
      <c r="O36" s="42">
        <v>14.5</v>
      </c>
      <c r="P36" s="42">
        <v>14</v>
      </c>
      <c r="Q36" s="42">
        <v>15</v>
      </c>
      <c r="R36" s="42">
        <v>15</v>
      </c>
      <c r="S36" s="43">
        <v>17</v>
      </c>
      <c r="T36" s="43">
        <v>16</v>
      </c>
      <c r="U36" s="42">
        <v>16</v>
      </c>
      <c r="V36" s="43">
        <v>14</v>
      </c>
      <c r="W36" s="43">
        <v>15</v>
      </c>
      <c r="X36" s="42">
        <v>17</v>
      </c>
      <c r="Y36" s="43">
        <v>15.5</v>
      </c>
      <c r="Z36" s="43">
        <v>15.5</v>
      </c>
      <c r="AA36" s="43">
        <v>15.5</v>
      </c>
      <c r="AB36" s="43">
        <v>15.5</v>
      </c>
    </row>
    <row r="37" spans="1:40" ht="27.75" hidden="1" customHeight="1" x14ac:dyDescent="0.4">
      <c r="A37" s="25"/>
      <c r="B37" s="1" t="s">
        <v>17</v>
      </c>
      <c r="C37" s="42">
        <f t="shared" ref="C37:AB37" si="11">C35/C36</f>
        <v>14.121212121212121</v>
      </c>
      <c r="D37" s="42">
        <f t="shared" si="11"/>
        <v>12.733333333333333</v>
      </c>
      <c r="E37" s="42">
        <f t="shared" si="11"/>
        <v>13.338541666666666</v>
      </c>
      <c r="F37" s="42">
        <f t="shared" si="11"/>
        <v>12.234375</v>
      </c>
      <c r="G37" s="42">
        <f t="shared" si="11"/>
        <v>13.072916666666666</v>
      </c>
      <c r="H37" s="42">
        <f t="shared" si="11"/>
        <v>12.265625</v>
      </c>
      <c r="I37" s="42">
        <f t="shared" si="11"/>
        <v>14.103448275862069</v>
      </c>
      <c r="J37" s="42">
        <f t="shared" si="11"/>
        <v>14.61792252022137</v>
      </c>
      <c r="K37" s="42">
        <f t="shared" si="11"/>
        <v>15.0625</v>
      </c>
      <c r="L37" s="42">
        <f t="shared" si="11"/>
        <v>13.340196078431372</v>
      </c>
      <c r="M37" s="42">
        <f t="shared" si="11"/>
        <v>12.96875</v>
      </c>
      <c r="N37" s="42">
        <f t="shared" si="11"/>
        <v>13.303030303030303</v>
      </c>
      <c r="O37" s="42">
        <f t="shared" si="11"/>
        <v>14.03448275862069</v>
      </c>
      <c r="P37" s="42">
        <f t="shared" si="11"/>
        <v>14.071428571428571</v>
      </c>
      <c r="Q37" s="42">
        <f t="shared" si="11"/>
        <v>13.355555555555556</v>
      </c>
      <c r="R37" s="42">
        <f t="shared" si="11"/>
        <v>12.816666666666666</v>
      </c>
      <c r="S37" s="42">
        <f t="shared" si="11"/>
        <v>13.142156862745097</v>
      </c>
      <c r="T37" s="42">
        <f t="shared" si="11"/>
        <v>13.203125</v>
      </c>
      <c r="U37" s="42">
        <f t="shared" si="11"/>
        <v>13.515625</v>
      </c>
      <c r="V37" s="42">
        <f t="shared" si="11"/>
        <v>13.928571428571429</v>
      </c>
      <c r="W37" s="42">
        <f t="shared" si="11"/>
        <v>14.716666666666667</v>
      </c>
      <c r="X37" s="42">
        <f t="shared" si="11"/>
        <v>13.470588235294118</v>
      </c>
      <c r="Y37" s="42">
        <f t="shared" si="11"/>
        <v>13.763440860215054</v>
      </c>
      <c r="Z37" s="42">
        <f t="shared" si="11"/>
        <v>13.763440860215054</v>
      </c>
      <c r="AA37" s="42">
        <f t="shared" si="11"/>
        <v>13.763440860215054</v>
      </c>
      <c r="AB37" s="42">
        <f t="shared" si="11"/>
        <v>13.763440860215054</v>
      </c>
      <c r="AC37" s="2">
        <f>SUM(C37:AB37)</f>
        <v>352.47048115183287</v>
      </c>
      <c r="AE37" s="1" t="s">
        <v>18</v>
      </c>
      <c r="AG37" s="1">
        <f>AI35/11.5</f>
        <v>20.933977455716587</v>
      </c>
      <c r="AI37" s="1">
        <f>27*175</f>
        <v>4725</v>
      </c>
      <c r="AJ37" s="1">
        <f>5823-27*175</f>
        <v>1098</v>
      </c>
    </row>
    <row r="38" spans="1:40" ht="27.75" hidden="1" customHeight="1" x14ac:dyDescent="0.4">
      <c r="A38" s="25"/>
      <c r="B38" s="1" t="s">
        <v>19</v>
      </c>
      <c r="C38" s="42">
        <v>11.5</v>
      </c>
      <c r="D38" s="42">
        <v>0</v>
      </c>
      <c r="E38" s="42">
        <v>11.5</v>
      </c>
      <c r="F38" s="42">
        <v>11.5</v>
      </c>
      <c r="G38" s="42">
        <v>11.5</v>
      </c>
      <c r="H38" s="42">
        <v>11.5</v>
      </c>
      <c r="I38" s="42">
        <v>11.5</v>
      </c>
      <c r="J38" s="42">
        <v>11.5</v>
      </c>
      <c r="K38" s="42">
        <v>11.5</v>
      </c>
      <c r="L38" s="42">
        <v>11.5</v>
      </c>
      <c r="M38" s="42">
        <v>11.5</v>
      </c>
      <c r="N38" s="42">
        <v>11.5</v>
      </c>
      <c r="O38" s="42">
        <v>11.5</v>
      </c>
      <c r="P38" s="42">
        <v>11.5</v>
      </c>
      <c r="Q38" s="42">
        <v>11.5</v>
      </c>
      <c r="R38" s="42">
        <v>11.5</v>
      </c>
      <c r="S38" s="42">
        <v>0</v>
      </c>
      <c r="T38" s="42">
        <v>11.5</v>
      </c>
      <c r="U38" s="42">
        <v>0</v>
      </c>
      <c r="V38" s="42">
        <v>11.5</v>
      </c>
      <c r="W38" s="42">
        <v>11.5</v>
      </c>
      <c r="X38" s="42">
        <v>11.5</v>
      </c>
      <c r="Y38" s="42">
        <v>11.5</v>
      </c>
      <c r="Z38" s="42">
        <v>11.5</v>
      </c>
      <c r="AA38" s="42">
        <v>11.5</v>
      </c>
      <c r="AB38" s="42">
        <v>11.5</v>
      </c>
      <c r="AC38" s="2">
        <f>SUM(C38:AB38)</f>
        <v>264.5</v>
      </c>
      <c r="AE38" s="1" t="s">
        <v>20</v>
      </c>
      <c r="AG38" s="1">
        <f>AC39*AG37</f>
        <v>1841.5720692010111</v>
      </c>
      <c r="AJ38" s="1">
        <f>AJ37*175</f>
        <v>192150</v>
      </c>
      <c r="AL38" s="1">
        <f>AJ37/AI37</f>
        <v>0.23238095238095238</v>
      </c>
    </row>
    <row r="39" spans="1:40" ht="27.75" hidden="1" customHeight="1" x14ac:dyDescent="0.4">
      <c r="A39" s="28"/>
      <c r="B39" s="29" t="s">
        <v>21</v>
      </c>
      <c r="C39" s="44">
        <f t="shared" ref="C39:AB39" si="12">C37-C38</f>
        <v>2.6212121212121211</v>
      </c>
      <c r="D39" s="44">
        <f t="shared" si="12"/>
        <v>12.733333333333333</v>
      </c>
      <c r="E39" s="44">
        <f t="shared" si="12"/>
        <v>1.8385416666666661</v>
      </c>
      <c r="F39" s="44">
        <f t="shared" si="12"/>
        <v>0.734375</v>
      </c>
      <c r="G39" s="44">
        <f t="shared" si="12"/>
        <v>1.5729166666666661</v>
      </c>
      <c r="H39" s="44">
        <f t="shared" si="12"/>
        <v>0.765625</v>
      </c>
      <c r="I39" s="44">
        <f t="shared" si="12"/>
        <v>2.6034482758620694</v>
      </c>
      <c r="J39" s="44">
        <f t="shared" si="12"/>
        <v>3.1179225202213701</v>
      </c>
      <c r="K39" s="44">
        <f t="shared" si="12"/>
        <v>3.5625</v>
      </c>
      <c r="L39" s="44">
        <f t="shared" si="12"/>
        <v>1.8401960784313722</v>
      </c>
      <c r="M39" s="44">
        <f t="shared" si="12"/>
        <v>1.46875</v>
      </c>
      <c r="N39" s="44">
        <f t="shared" si="12"/>
        <v>1.8030303030303028</v>
      </c>
      <c r="O39" s="44">
        <f t="shared" si="12"/>
        <v>2.5344827586206904</v>
      </c>
      <c r="P39" s="44">
        <f t="shared" si="12"/>
        <v>2.5714285714285712</v>
      </c>
      <c r="Q39" s="44">
        <f t="shared" si="12"/>
        <v>1.8555555555555561</v>
      </c>
      <c r="R39" s="44">
        <f t="shared" si="12"/>
        <v>1.3166666666666664</v>
      </c>
      <c r="S39" s="44">
        <f t="shared" si="12"/>
        <v>13.142156862745097</v>
      </c>
      <c r="T39" s="44">
        <f t="shared" si="12"/>
        <v>1.703125</v>
      </c>
      <c r="U39" s="44">
        <f t="shared" si="12"/>
        <v>13.515625</v>
      </c>
      <c r="V39" s="44">
        <f t="shared" si="12"/>
        <v>2.4285714285714288</v>
      </c>
      <c r="W39" s="44">
        <f t="shared" si="12"/>
        <v>3.2166666666666668</v>
      </c>
      <c r="X39" s="44">
        <f t="shared" si="12"/>
        <v>1.9705882352941178</v>
      </c>
      <c r="Y39" s="44">
        <f t="shared" si="12"/>
        <v>2.263440860215054</v>
      </c>
      <c r="Z39" s="44">
        <f t="shared" si="12"/>
        <v>2.263440860215054</v>
      </c>
      <c r="AA39" s="44">
        <f t="shared" si="12"/>
        <v>2.263440860215054</v>
      </c>
      <c r="AB39" s="44">
        <f t="shared" si="12"/>
        <v>2.263440860215054</v>
      </c>
      <c r="AC39" s="2">
        <f>SUM(C39:AB39)</f>
        <v>87.970481151832914</v>
      </c>
    </row>
    <row r="40" spans="1:40" ht="27.75" hidden="1" customHeight="1" x14ac:dyDescent="0.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40" ht="27.75" hidden="1" customHeight="1" x14ac:dyDescent="0.4">
      <c r="C41" s="3">
        <v>1.1100000000000001</v>
      </c>
      <c r="D41" s="4">
        <v>3.11</v>
      </c>
      <c r="E41" s="4">
        <v>4.1100000000000003</v>
      </c>
      <c r="F41" s="4">
        <v>5.1100000000000003</v>
      </c>
      <c r="G41" s="4">
        <v>6.11</v>
      </c>
      <c r="H41" s="4">
        <v>7.11</v>
      </c>
      <c r="I41" s="4">
        <v>8.11</v>
      </c>
      <c r="J41" s="4">
        <v>10.11</v>
      </c>
      <c r="K41" s="4">
        <v>11.11</v>
      </c>
      <c r="L41" s="4">
        <v>12.11</v>
      </c>
      <c r="M41" s="4">
        <v>13.11</v>
      </c>
      <c r="N41" s="4">
        <v>14.11</v>
      </c>
      <c r="O41" s="4">
        <v>15.11</v>
      </c>
      <c r="P41" s="4">
        <v>17.11</v>
      </c>
      <c r="Q41" s="4">
        <v>18.11</v>
      </c>
      <c r="R41" s="4">
        <v>19.11</v>
      </c>
      <c r="S41" s="4">
        <v>20.11</v>
      </c>
      <c r="T41" s="4">
        <v>21.11</v>
      </c>
      <c r="U41" s="4">
        <v>22.11</v>
      </c>
      <c r="V41" s="4">
        <v>24.11</v>
      </c>
      <c r="W41" s="4">
        <v>25.11</v>
      </c>
      <c r="X41" s="6">
        <v>26.11</v>
      </c>
      <c r="Y41" s="8">
        <v>27.11</v>
      </c>
      <c r="Z41" s="8">
        <v>27.11</v>
      </c>
      <c r="AA41" s="8">
        <v>27.11</v>
      </c>
      <c r="AB41" s="8">
        <v>27.11</v>
      </c>
      <c r="AC41" s="9" t="s">
        <v>1</v>
      </c>
      <c r="AD41" s="10" t="s">
        <v>2</v>
      </c>
      <c r="AE41" s="11" t="s">
        <v>3</v>
      </c>
      <c r="AF41" s="12" t="s">
        <v>4</v>
      </c>
      <c r="AG41" s="12" t="s">
        <v>5</v>
      </c>
      <c r="AH41" s="10" t="s">
        <v>6</v>
      </c>
      <c r="AI41" s="10" t="s">
        <v>7</v>
      </c>
      <c r="AJ41" s="13" t="s">
        <v>8</v>
      </c>
      <c r="AK41" s="10" t="s">
        <v>9</v>
      </c>
      <c r="AL41" s="10" t="s">
        <v>10</v>
      </c>
      <c r="AM41" s="14" t="s">
        <v>11</v>
      </c>
      <c r="AN41" s="10" t="s">
        <v>12</v>
      </c>
    </row>
    <row r="42" spans="1:40" ht="49.5" hidden="1" customHeight="1" x14ac:dyDescent="0.6">
      <c r="A42" s="15">
        <v>0</v>
      </c>
      <c r="B42" s="16"/>
      <c r="C42" s="38">
        <v>233</v>
      </c>
      <c r="D42" s="39">
        <v>191</v>
      </c>
      <c r="E42" s="40">
        <f>194.75+112/6</f>
        <v>213.41666666666666</v>
      </c>
      <c r="F42" s="40">
        <v>195.75</v>
      </c>
      <c r="G42" s="40">
        <f>197.5+70/6</f>
        <v>209.16666666666666</v>
      </c>
      <c r="H42" s="40">
        <v>196.25</v>
      </c>
      <c r="I42" s="40">
        <v>204.5</v>
      </c>
      <c r="J42" s="40">
        <f>190.25+232/6</f>
        <v>228.91666666666666</v>
      </c>
      <c r="K42" s="40">
        <v>241</v>
      </c>
      <c r="L42" s="40">
        <f>207.45+116/6</f>
        <v>226.78333333333333</v>
      </c>
      <c r="M42" s="40">
        <v>207.5</v>
      </c>
      <c r="N42" s="40">
        <v>219.5</v>
      </c>
      <c r="O42" s="40">
        <v>203.5</v>
      </c>
      <c r="P42" s="40">
        <v>197</v>
      </c>
      <c r="Q42" s="40">
        <f>193+44/6</f>
        <v>200.33333333333334</v>
      </c>
      <c r="R42" s="40">
        <v>192.25</v>
      </c>
      <c r="S42" s="40">
        <f>209.25+85/6</f>
        <v>223.41666666666666</v>
      </c>
      <c r="T42" s="40">
        <v>211.25</v>
      </c>
      <c r="U42" s="40">
        <v>216.25</v>
      </c>
      <c r="V42" s="40">
        <f>187.5+45/6</f>
        <v>195</v>
      </c>
      <c r="W42" s="40">
        <v>220.75</v>
      </c>
      <c r="X42" s="40">
        <v>229</v>
      </c>
      <c r="Y42" s="40">
        <f>197.5+95/6</f>
        <v>213.33333333333334</v>
      </c>
      <c r="Z42" s="40">
        <f>197.5+95/6</f>
        <v>213.33333333333334</v>
      </c>
      <c r="AA42" s="40">
        <f>197.5+95/6</f>
        <v>213.33333333333334</v>
      </c>
      <c r="AB42" s="40">
        <f>197.5+95/6</f>
        <v>213.33333333333334</v>
      </c>
      <c r="AC42" s="20">
        <f>SUM(C42:AB42)</f>
        <v>5508.866666666665</v>
      </c>
      <c r="AD42" s="21">
        <v>6</v>
      </c>
      <c r="AE42" s="21">
        <f>AD42*175</f>
        <v>1050</v>
      </c>
      <c r="AF42" s="21">
        <f>AC42-AE42</f>
        <v>4458.866666666665</v>
      </c>
      <c r="AG42" s="21">
        <v>27</v>
      </c>
      <c r="AH42" s="21">
        <f>AF42/175</f>
        <v>25.479238095238085</v>
      </c>
      <c r="AI42" s="21">
        <f>AK42/AG42</f>
        <v>296.2962962962963</v>
      </c>
      <c r="AJ42" s="22">
        <f>AI42*AH42</f>
        <v>7549.4038800705439</v>
      </c>
      <c r="AK42" s="21">
        <v>8000</v>
      </c>
      <c r="AL42" s="23">
        <f>AK42+AJ42</f>
        <v>15549.403880070544</v>
      </c>
      <c r="AM42" s="16"/>
      <c r="AN42" s="24"/>
    </row>
    <row r="43" spans="1:40" ht="27.75" hidden="1" customHeight="1" x14ac:dyDescent="0.4">
      <c r="A43" s="25"/>
      <c r="B43" s="1" t="s">
        <v>16</v>
      </c>
      <c r="C43" s="42">
        <v>16.5</v>
      </c>
      <c r="D43" s="42">
        <v>15</v>
      </c>
      <c r="E43" s="42">
        <v>16</v>
      </c>
      <c r="F43" s="42">
        <v>16</v>
      </c>
      <c r="G43" s="42">
        <v>16</v>
      </c>
      <c r="H43" s="42">
        <v>16</v>
      </c>
      <c r="I43" s="42">
        <v>14.5</v>
      </c>
      <c r="J43" s="42">
        <v>15.66</v>
      </c>
      <c r="K43" s="42">
        <v>16</v>
      </c>
      <c r="L43" s="42">
        <v>17</v>
      </c>
      <c r="M43" s="42">
        <v>16</v>
      </c>
      <c r="N43" s="42">
        <v>16.5</v>
      </c>
      <c r="O43" s="42">
        <v>14.5</v>
      </c>
      <c r="P43" s="42">
        <v>14</v>
      </c>
      <c r="Q43" s="42">
        <v>15</v>
      </c>
      <c r="R43" s="42">
        <v>15</v>
      </c>
      <c r="S43" s="43">
        <v>17</v>
      </c>
      <c r="T43" s="43">
        <v>16</v>
      </c>
      <c r="U43" s="42">
        <v>16</v>
      </c>
      <c r="V43" s="43">
        <v>14</v>
      </c>
      <c r="W43" s="43">
        <v>15</v>
      </c>
      <c r="X43" s="42">
        <v>17</v>
      </c>
      <c r="Y43" s="43">
        <v>15.5</v>
      </c>
      <c r="Z43" s="43">
        <v>15.5</v>
      </c>
      <c r="AA43" s="43">
        <v>15.5</v>
      </c>
      <c r="AB43" s="43">
        <v>15.5</v>
      </c>
    </row>
    <row r="44" spans="1:40" ht="27.75" hidden="1" customHeight="1" x14ac:dyDescent="0.4">
      <c r="A44" s="25"/>
      <c r="B44" s="1" t="s">
        <v>17</v>
      </c>
      <c r="C44" s="42">
        <f t="shared" ref="C44:AB44" si="13">C42/C43</f>
        <v>14.121212121212121</v>
      </c>
      <c r="D44" s="42">
        <f t="shared" si="13"/>
        <v>12.733333333333333</v>
      </c>
      <c r="E44" s="42">
        <f t="shared" si="13"/>
        <v>13.338541666666666</v>
      </c>
      <c r="F44" s="42">
        <f t="shared" si="13"/>
        <v>12.234375</v>
      </c>
      <c r="G44" s="42">
        <f t="shared" si="13"/>
        <v>13.072916666666666</v>
      </c>
      <c r="H44" s="42">
        <f t="shared" si="13"/>
        <v>12.265625</v>
      </c>
      <c r="I44" s="42">
        <f t="shared" si="13"/>
        <v>14.103448275862069</v>
      </c>
      <c r="J44" s="42">
        <f t="shared" si="13"/>
        <v>14.61792252022137</v>
      </c>
      <c r="K44" s="42">
        <f t="shared" si="13"/>
        <v>15.0625</v>
      </c>
      <c r="L44" s="42">
        <f t="shared" si="13"/>
        <v>13.340196078431372</v>
      </c>
      <c r="M44" s="42">
        <f t="shared" si="13"/>
        <v>12.96875</v>
      </c>
      <c r="N44" s="42">
        <f t="shared" si="13"/>
        <v>13.303030303030303</v>
      </c>
      <c r="O44" s="42">
        <f t="shared" si="13"/>
        <v>14.03448275862069</v>
      </c>
      <c r="P44" s="42">
        <f t="shared" si="13"/>
        <v>14.071428571428571</v>
      </c>
      <c r="Q44" s="42">
        <f t="shared" si="13"/>
        <v>13.355555555555556</v>
      </c>
      <c r="R44" s="42">
        <f t="shared" si="13"/>
        <v>12.816666666666666</v>
      </c>
      <c r="S44" s="42">
        <f t="shared" si="13"/>
        <v>13.142156862745097</v>
      </c>
      <c r="T44" s="42">
        <f t="shared" si="13"/>
        <v>13.203125</v>
      </c>
      <c r="U44" s="42">
        <f t="shared" si="13"/>
        <v>13.515625</v>
      </c>
      <c r="V44" s="42">
        <f t="shared" si="13"/>
        <v>13.928571428571429</v>
      </c>
      <c r="W44" s="42">
        <f t="shared" si="13"/>
        <v>14.716666666666667</v>
      </c>
      <c r="X44" s="42">
        <f t="shared" si="13"/>
        <v>13.470588235294118</v>
      </c>
      <c r="Y44" s="42">
        <f t="shared" si="13"/>
        <v>13.763440860215054</v>
      </c>
      <c r="Z44" s="42">
        <f t="shared" si="13"/>
        <v>13.763440860215054</v>
      </c>
      <c r="AA44" s="42">
        <f t="shared" si="13"/>
        <v>13.763440860215054</v>
      </c>
      <c r="AB44" s="42">
        <f t="shared" si="13"/>
        <v>13.763440860215054</v>
      </c>
      <c r="AC44" s="2">
        <f>SUM(C44:AB44)</f>
        <v>352.47048115183287</v>
      </c>
      <c r="AE44" s="1" t="s">
        <v>18</v>
      </c>
      <c r="AG44" s="1">
        <f>AI42/11.5</f>
        <v>25.764895330112722</v>
      </c>
    </row>
    <row r="45" spans="1:40" ht="27.75" hidden="1" customHeight="1" x14ac:dyDescent="0.4">
      <c r="A45" s="25"/>
      <c r="B45" s="1" t="s">
        <v>19</v>
      </c>
      <c r="C45" s="42">
        <v>11.5</v>
      </c>
      <c r="D45" s="42">
        <v>0</v>
      </c>
      <c r="E45" s="42">
        <v>11.5</v>
      </c>
      <c r="F45" s="42">
        <v>11.5</v>
      </c>
      <c r="G45" s="42">
        <v>11.5</v>
      </c>
      <c r="H45" s="42">
        <v>11.5</v>
      </c>
      <c r="I45" s="42">
        <v>11.5</v>
      </c>
      <c r="J45" s="42">
        <v>11.5</v>
      </c>
      <c r="K45" s="42">
        <v>11.5</v>
      </c>
      <c r="L45" s="42">
        <v>11.5</v>
      </c>
      <c r="M45" s="42">
        <v>11.5</v>
      </c>
      <c r="N45" s="42">
        <v>11.5</v>
      </c>
      <c r="O45" s="42">
        <v>11.5</v>
      </c>
      <c r="P45" s="42">
        <v>11.5</v>
      </c>
      <c r="Q45" s="42">
        <v>11.5</v>
      </c>
      <c r="R45" s="42">
        <v>11.5</v>
      </c>
      <c r="S45" s="42">
        <v>0</v>
      </c>
      <c r="T45" s="42">
        <v>11.5</v>
      </c>
      <c r="U45" s="42">
        <v>0</v>
      </c>
      <c r="V45" s="42">
        <v>11.5</v>
      </c>
      <c r="W45" s="42">
        <v>11.5</v>
      </c>
      <c r="X45" s="42">
        <v>11.5</v>
      </c>
      <c r="Y45" s="42">
        <v>11.5</v>
      </c>
      <c r="Z45" s="42">
        <v>11.5</v>
      </c>
      <c r="AA45" s="42">
        <v>11.5</v>
      </c>
      <c r="AB45" s="42">
        <v>11.5</v>
      </c>
      <c r="AC45" s="2">
        <f>SUM(C45:AB45)</f>
        <v>264.5</v>
      </c>
      <c r="AE45" s="1" t="s">
        <v>20</v>
      </c>
      <c r="AG45" s="1">
        <f>AC46*AG44</f>
        <v>2266.5502390166289</v>
      </c>
    </row>
    <row r="46" spans="1:40" ht="27.75" hidden="1" customHeight="1" x14ac:dyDescent="0.4">
      <c r="A46" s="28"/>
      <c r="B46" s="29" t="s">
        <v>21</v>
      </c>
      <c r="C46" s="45">
        <f t="shared" ref="C46:AB46" si="14">C44-C45</f>
        <v>2.6212121212121211</v>
      </c>
      <c r="D46" s="45">
        <f t="shared" si="14"/>
        <v>12.733333333333333</v>
      </c>
      <c r="E46" s="45">
        <f t="shared" si="14"/>
        <v>1.8385416666666661</v>
      </c>
      <c r="F46" s="45">
        <f t="shared" si="14"/>
        <v>0.734375</v>
      </c>
      <c r="G46" s="45">
        <f t="shared" si="14"/>
        <v>1.5729166666666661</v>
      </c>
      <c r="H46" s="45">
        <f t="shared" si="14"/>
        <v>0.765625</v>
      </c>
      <c r="I46" s="45">
        <f t="shared" si="14"/>
        <v>2.6034482758620694</v>
      </c>
      <c r="J46" s="45">
        <f t="shared" si="14"/>
        <v>3.1179225202213701</v>
      </c>
      <c r="K46" s="45">
        <f t="shared" si="14"/>
        <v>3.5625</v>
      </c>
      <c r="L46" s="45">
        <f t="shared" si="14"/>
        <v>1.8401960784313722</v>
      </c>
      <c r="M46" s="45">
        <f t="shared" si="14"/>
        <v>1.46875</v>
      </c>
      <c r="N46" s="45">
        <f t="shared" si="14"/>
        <v>1.8030303030303028</v>
      </c>
      <c r="O46" s="45">
        <f t="shared" si="14"/>
        <v>2.5344827586206904</v>
      </c>
      <c r="P46" s="45">
        <f t="shared" si="14"/>
        <v>2.5714285714285712</v>
      </c>
      <c r="Q46" s="45">
        <f t="shared" si="14"/>
        <v>1.8555555555555561</v>
      </c>
      <c r="R46" s="45">
        <f t="shared" si="14"/>
        <v>1.3166666666666664</v>
      </c>
      <c r="S46" s="45">
        <f t="shared" si="14"/>
        <v>13.142156862745097</v>
      </c>
      <c r="T46" s="45">
        <f t="shared" si="14"/>
        <v>1.703125</v>
      </c>
      <c r="U46" s="45">
        <f t="shared" si="14"/>
        <v>13.515625</v>
      </c>
      <c r="V46" s="45">
        <f t="shared" si="14"/>
        <v>2.4285714285714288</v>
      </c>
      <c r="W46" s="45">
        <f t="shared" si="14"/>
        <v>3.2166666666666668</v>
      </c>
      <c r="X46" s="45">
        <f t="shared" si="14"/>
        <v>1.9705882352941178</v>
      </c>
      <c r="Y46" s="45">
        <f t="shared" si="14"/>
        <v>2.263440860215054</v>
      </c>
      <c r="Z46" s="45">
        <f t="shared" si="14"/>
        <v>2.263440860215054</v>
      </c>
      <c r="AA46" s="45">
        <f t="shared" si="14"/>
        <v>2.263440860215054</v>
      </c>
      <c r="AB46" s="45">
        <f t="shared" si="14"/>
        <v>2.263440860215054</v>
      </c>
      <c r="AC46" s="2">
        <f>SUM(C46:AB46)</f>
        <v>87.970481151832914</v>
      </c>
    </row>
    <row r="47" spans="1:40" ht="27.75" customHeight="1" x14ac:dyDescent="0.4">
      <c r="B47" s="1" t="s">
        <v>30</v>
      </c>
      <c r="C47" s="3">
        <v>2.0299999999999998</v>
      </c>
      <c r="D47" s="4">
        <v>3.03</v>
      </c>
      <c r="E47" s="4">
        <v>4.03</v>
      </c>
      <c r="F47" s="4">
        <v>5.03</v>
      </c>
      <c r="G47" s="4">
        <v>6.03</v>
      </c>
      <c r="H47" s="4">
        <v>7.03</v>
      </c>
      <c r="I47" s="4">
        <v>9.0299999999999994</v>
      </c>
      <c r="J47" s="5">
        <v>10.029999999999999</v>
      </c>
      <c r="K47" s="4">
        <v>11.03</v>
      </c>
      <c r="L47" s="4">
        <v>12.03</v>
      </c>
      <c r="M47" s="4">
        <v>13.03</v>
      </c>
      <c r="N47" s="4">
        <v>14.03</v>
      </c>
      <c r="O47" s="4">
        <v>16.03</v>
      </c>
      <c r="P47" s="5">
        <v>17.03</v>
      </c>
      <c r="Q47" s="4">
        <v>18.03</v>
      </c>
      <c r="R47" s="5">
        <v>19.03</v>
      </c>
      <c r="S47" s="4">
        <v>20.03</v>
      </c>
      <c r="T47" s="4">
        <v>21.02</v>
      </c>
      <c r="U47" s="4">
        <v>23.03</v>
      </c>
      <c r="V47" s="4">
        <v>24.03</v>
      </c>
      <c r="W47" s="4">
        <v>25.03</v>
      </c>
      <c r="X47" s="6">
        <v>26.03</v>
      </c>
      <c r="Y47" s="8">
        <v>27.03</v>
      </c>
      <c r="Z47" s="8">
        <v>28.02</v>
      </c>
      <c r="AA47" s="8">
        <v>30.03</v>
      </c>
      <c r="AB47" s="7">
        <v>31.03</v>
      </c>
      <c r="AC47" s="9" t="s">
        <v>1</v>
      </c>
      <c r="AD47" s="10" t="s">
        <v>2</v>
      </c>
      <c r="AE47" s="11" t="s">
        <v>3</v>
      </c>
      <c r="AF47" s="12" t="s">
        <v>4</v>
      </c>
      <c r="AG47" s="12" t="s">
        <v>5</v>
      </c>
      <c r="AH47" s="10" t="s">
        <v>6</v>
      </c>
      <c r="AI47" s="10" t="s">
        <v>7</v>
      </c>
      <c r="AJ47" s="13" t="s">
        <v>8</v>
      </c>
      <c r="AK47" s="10" t="s">
        <v>9</v>
      </c>
      <c r="AL47" s="10" t="s">
        <v>10</v>
      </c>
      <c r="AM47" s="14" t="s">
        <v>11</v>
      </c>
      <c r="AN47" s="10" t="s">
        <v>12</v>
      </c>
    </row>
    <row r="48" spans="1:40" ht="44.25" customHeight="1" x14ac:dyDescent="0.6">
      <c r="A48" s="15">
        <v>5</v>
      </c>
      <c r="B48" s="16" t="s">
        <v>31</v>
      </c>
      <c r="C48" s="17">
        <v>193</v>
      </c>
      <c r="D48" s="17">
        <f>131.5+23/6</f>
        <v>135.33333333333334</v>
      </c>
      <c r="E48" s="18">
        <v>191</v>
      </c>
      <c r="F48" s="17">
        <v>191.75</v>
      </c>
      <c r="G48" s="17">
        <v>183.5</v>
      </c>
      <c r="H48" s="17">
        <v>173</v>
      </c>
      <c r="I48" s="17">
        <v>149</v>
      </c>
      <c r="J48" s="19">
        <v>0</v>
      </c>
      <c r="K48" s="17">
        <v>97.5</v>
      </c>
      <c r="L48" s="17">
        <v>146.5</v>
      </c>
      <c r="M48" s="17">
        <v>194.5</v>
      </c>
      <c r="N48" s="17">
        <v>188.5</v>
      </c>
      <c r="O48" s="17">
        <v>93</v>
      </c>
      <c r="P48" s="19">
        <v>0</v>
      </c>
      <c r="Q48" s="17">
        <f>84+6/6</f>
        <v>85</v>
      </c>
      <c r="R48" s="19">
        <v>0</v>
      </c>
      <c r="S48" s="17">
        <f>141.5+8/6</f>
        <v>142.83333333333334</v>
      </c>
      <c r="T48" s="17">
        <v>201</v>
      </c>
      <c r="U48" s="17">
        <v>191.75</v>
      </c>
      <c r="V48" s="17">
        <f>156.25+7/6</f>
        <v>157.41666666666666</v>
      </c>
      <c r="W48" s="17">
        <v>166</v>
      </c>
      <c r="X48" s="17">
        <v>144.5</v>
      </c>
      <c r="Y48" s="17">
        <f>104.5+30/6</f>
        <v>109.5</v>
      </c>
      <c r="Z48" s="17">
        <v>200.5</v>
      </c>
      <c r="AA48" s="17">
        <v>147</v>
      </c>
      <c r="AB48" s="19">
        <v>0</v>
      </c>
      <c r="AC48" s="20">
        <f>SUM(C48:AB48)</f>
        <v>3482.0833333333335</v>
      </c>
      <c r="AD48" s="21">
        <v>22</v>
      </c>
      <c r="AE48" s="21">
        <f>AD48*166</f>
        <v>3652</v>
      </c>
      <c r="AF48" s="21">
        <f>AC48-AE48</f>
        <v>-169.91666666666652</v>
      </c>
      <c r="AG48" s="21">
        <v>26</v>
      </c>
      <c r="AH48" s="21">
        <f>AF48/175</f>
        <v>-0.97095238095238012</v>
      </c>
      <c r="AI48" s="21">
        <f>AK48/AG48</f>
        <v>288.46153846153845</v>
      </c>
      <c r="AJ48" s="22">
        <f>AI48*AH48</f>
        <v>-280.08241758241735</v>
      </c>
      <c r="AK48" s="21">
        <v>7500</v>
      </c>
      <c r="AL48" s="23">
        <f>AK48+AJ48</f>
        <v>7219.9175824175827</v>
      </c>
      <c r="AM48" s="16" t="s">
        <v>31</v>
      </c>
      <c r="AN48" s="24"/>
    </row>
    <row r="49" spans="1:40" ht="27.75" customHeight="1" x14ac:dyDescent="0.4">
      <c r="A49" s="25"/>
      <c r="B49" s="1" t="s">
        <v>16</v>
      </c>
      <c r="C49" s="26">
        <v>15</v>
      </c>
      <c r="D49" s="26">
        <v>14</v>
      </c>
      <c r="E49" s="26">
        <v>15</v>
      </c>
      <c r="F49" s="26">
        <v>16</v>
      </c>
      <c r="G49" s="26">
        <v>15</v>
      </c>
      <c r="H49" s="26">
        <v>14</v>
      </c>
      <c r="I49" s="26">
        <v>14</v>
      </c>
      <c r="J49" s="27">
        <v>0</v>
      </c>
      <c r="K49" s="26">
        <v>14</v>
      </c>
      <c r="L49" s="26">
        <v>14</v>
      </c>
      <c r="M49" s="26">
        <v>15</v>
      </c>
      <c r="N49" s="26">
        <v>16</v>
      </c>
      <c r="O49" s="26">
        <v>14</v>
      </c>
      <c r="P49" s="27">
        <v>0</v>
      </c>
      <c r="Q49" s="26">
        <v>10</v>
      </c>
      <c r="R49" s="27">
        <v>0</v>
      </c>
      <c r="S49" s="26">
        <v>15</v>
      </c>
      <c r="T49" s="26">
        <v>14</v>
      </c>
      <c r="U49" s="26">
        <v>15</v>
      </c>
      <c r="V49" s="26">
        <v>14</v>
      </c>
      <c r="W49" s="26">
        <v>13</v>
      </c>
      <c r="X49" s="26">
        <v>14</v>
      </c>
      <c r="Y49" s="26">
        <v>14</v>
      </c>
      <c r="Z49" s="26">
        <v>15</v>
      </c>
      <c r="AA49" s="26">
        <v>14</v>
      </c>
      <c r="AB49" s="27">
        <v>0</v>
      </c>
    </row>
    <row r="50" spans="1:40" ht="27.75" customHeight="1" x14ac:dyDescent="0.4">
      <c r="A50" s="25"/>
      <c r="B50" s="1" t="s">
        <v>17</v>
      </c>
      <c r="C50" s="26">
        <f t="shared" ref="C50:I50" si="15">C48/C49</f>
        <v>12.866666666666667</v>
      </c>
      <c r="D50" s="26">
        <f t="shared" si="15"/>
        <v>9.6666666666666679</v>
      </c>
      <c r="E50" s="26">
        <f t="shared" si="15"/>
        <v>12.733333333333333</v>
      </c>
      <c r="F50" s="26">
        <f t="shared" si="15"/>
        <v>11.984375</v>
      </c>
      <c r="G50" s="26">
        <f t="shared" si="15"/>
        <v>12.233333333333333</v>
      </c>
      <c r="H50" s="26">
        <f t="shared" si="15"/>
        <v>12.357142857142858</v>
      </c>
      <c r="I50" s="26">
        <f t="shared" si="15"/>
        <v>10.642857142857142</v>
      </c>
      <c r="J50" s="27">
        <v>0</v>
      </c>
      <c r="K50" s="26">
        <f>K48/K49</f>
        <v>6.9642857142857144</v>
      </c>
      <c r="L50" s="26">
        <f>L48/L49</f>
        <v>10.464285714285714</v>
      </c>
      <c r="M50" s="26">
        <f>M48/M49</f>
        <v>12.966666666666667</v>
      </c>
      <c r="N50" s="26">
        <f>N48/N49</f>
        <v>11.78125</v>
      </c>
      <c r="O50" s="26">
        <f>O48/O49</f>
        <v>6.6428571428571432</v>
      </c>
      <c r="P50" s="27">
        <v>0</v>
      </c>
      <c r="Q50" s="26">
        <f>Q48/Q49</f>
        <v>8.5</v>
      </c>
      <c r="R50" s="27">
        <v>0</v>
      </c>
      <c r="S50" s="26">
        <f t="shared" ref="S50:AA50" si="16">S48/S49</f>
        <v>9.5222222222222221</v>
      </c>
      <c r="T50" s="26">
        <f t="shared" si="16"/>
        <v>14.357142857142858</v>
      </c>
      <c r="U50" s="26">
        <f t="shared" si="16"/>
        <v>12.783333333333333</v>
      </c>
      <c r="V50" s="26">
        <f t="shared" si="16"/>
        <v>11.244047619047619</v>
      </c>
      <c r="W50" s="26">
        <f t="shared" si="16"/>
        <v>12.76923076923077</v>
      </c>
      <c r="X50" s="26">
        <f t="shared" si="16"/>
        <v>10.321428571428571</v>
      </c>
      <c r="Y50" s="26">
        <f t="shared" si="16"/>
        <v>7.8214285714285712</v>
      </c>
      <c r="Z50" s="26">
        <f t="shared" si="16"/>
        <v>13.366666666666667</v>
      </c>
      <c r="AA50" s="26">
        <f t="shared" si="16"/>
        <v>10.5</v>
      </c>
      <c r="AB50" s="27">
        <v>0</v>
      </c>
      <c r="AC50" s="2">
        <f>SUM(C50:AB50)</f>
        <v>242.48922084859586</v>
      </c>
      <c r="AE50" s="1" t="s">
        <v>18</v>
      </c>
      <c r="AG50" s="1">
        <f>AI48/11.5</f>
        <v>25.083612040133779</v>
      </c>
    </row>
    <row r="51" spans="1:40" ht="27.75" customHeight="1" x14ac:dyDescent="0.4">
      <c r="A51" s="25"/>
      <c r="B51" s="1" t="s">
        <v>19</v>
      </c>
      <c r="C51" s="26">
        <v>11.5</v>
      </c>
      <c r="D51" s="26">
        <v>11.5</v>
      </c>
      <c r="E51" s="26">
        <v>11.5</v>
      </c>
      <c r="F51" s="26">
        <v>11.5</v>
      </c>
      <c r="G51" s="26">
        <v>11.5</v>
      </c>
      <c r="H51" s="26">
        <v>11.5</v>
      </c>
      <c r="I51" s="26">
        <v>11.5</v>
      </c>
      <c r="J51" s="27">
        <v>0</v>
      </c>
      <c r="K51" s="26">
        <v>11.5</v>
      </c>
      <c r="L51" s="26">
        <v>11.5</v>
      </c>
      <c r="M51" s="26">
        <v>11.5</v>
      </c>
      <c r="N51" s="26">
        <v>11.5</v>
      </c>
      <c r="O51" s="26">
        <v>11.5</v>
      </c>
      <c r="P51" s="27">
        <v>0</v>
      </c>
      <c r="Q51" s="26">
        <v>11.5</v>
      </c>
      <c r="R51" s="27">
        <v>0</v>
      </c>
      <c r="S51" s="26">
        <v>11.5</v>
      </c>
      <c r="T51" s="26">
        <v>11.5</v>
      </c>
      <c r="U51" s="26">
        <v>11.5</v>
      </c>
      <c r="V51" s="26">
        <v>11.5</v>
      </c>
      <c r="W51" s="26">
        <v>11.5</v>
      </c>
      <c r="X51" s="26">
        <v>11.5</v>
      </c>
      <c r="Y51" s="26">
        <v>11.5</v>
      </c>
      <c r="Z51" s="26">
        <v>11.5</v>
      </c>
      <c r="AA51" s="26">
        <v>11.5</v>
      </c>
      <c r="AB51" s="27">
        <v>0</v>
      </c>
      <c r="AC51" s="2">
        <f>SUM(C51:AB51)</f>
        <v>253</v>
      </c>
      <c r="AE51" s="1" t="s">
        <v>20</v>
      </c>
      <c r="AG51" s="1">
        <f>AC52*AG50</f>
        <v>-263.64830647334827</v>
      </c>
    </row>
    <row r="52" spans="1:40" ht="27.75" customHeight="1" x14ac:dyDescent="0.4">
      <c r="A52" s="28"/>
      <c r="B52" s="29" t="s">
        <v>21</v>
      </c>
      <c r="C52" s="30">
        <f t="shared" ref="C52:AB52" si="17">C50-C51</f>
        <v>1.3666666666666671</v>
      </c>
      <c r="D52" s="30">
        <f t="shared" si="17"/>
        <v>-1.8333333333333321</v>
      </c>
      <c r="E52" s="30">
        <f t="shared" si="17"/>
        <v>1.2333333333333325</v>
      </c>
      <c r="F52" s="30">
        <f t="shared" si="17"/>
        <v>0.484375</v>
      </c>
      <c r="G52" s="30">
        <f t="shared" si="17"/>
        <v>0.7333333333333325</v>
      </c>
      <c r="H52" s="30">
        <f t="shared" si="17"/>
        <v>0.85714285714285765</v>
      </c>
      <c r="I52" s="30">
        <f t="shared" si="17"/>
        <v>-0.85714285714285765</v>
      </c>
      <c r="J52" s="31">
        <f t="shared" si="17"/>
        <v>0</v>
      </c>
      <c r="K52" s="30">
        <f t="shared" si="17"/>
        <v>-4.5357142857142856</v>
      </c>
      <c r="L52" s="30">
        <f t="shared" si="17"/>
        <v>-1.0357142857142865</v>
      </c>
      <c r="M52" s="30">
        <f t="shared" si="17"/>
        <v>1.4666666666666668</v>
      </c>
      <c r="N52" s="30">
        <f t="shared" si="17"/>
        <v>0.28125</v>
      </c>
      <c r="O52" s="30">
        <f t="shared" si="17"/>
        <v>-4.8571428571428568</v>
      </c>
      <c r="P52" s="31">
        <f t="shared" si="17"/>
        <v>0</v>
      </c>
      <c r="Q52" s="30">
        <f t="shared" si="17"/>
        <v>-3</v>
      </c>
      <c r="R52" s="31">
        <f t="shared" si="17"/>
        <v>0</v>
      </c>
      <c r="S52" s="30">
        <f t="shared" si="17"/>
        <v>-1.9777777777777779</v>
      </c>
      <c r="T52" s="30">
        <f t="shared" si="17"/>
        <v>2.8571428571428577</v>
      </c>
      <c r="U52" s="30">
        <f t="shared" si="17"/>
        <v>1.2833333333333332</v>
      </c>
      <c r="V52" s="30">
        <f t="shared" si="17"/>
        <v>-0.25595238095238138</v>
      </c>
      <c r="W52" s="30">
        <f t="shared" si="17"/>
        <v>1.2692307692307701</v>
      </c>
      <c r="X52" s="30">
        <f t="shared" si="17"/>
        <v>-1.1785714285714288</v>
      </c>
      <c r="Y52" s="30">
        <f t="shared" si="17"/>
        <v>-3.6785714285714288</v>
      </c>
      <c r="Z52" s="30">
        <f t="shared" si="17"/>
        <v>1.8666666666666671</v>
      </c>
      <c r="AA52" s="30">
        <f t="shared" si="17"/>
        <v>-1</v>
      </c>
      <c r="AB52" s="31">
        <f t="shared" si="17"/>
        <v>0</v>
      </c>
      <c r="AC52" s="2">
        <f>SUM(C52:AB52)</f>
        <v>-10.510779151404151</v>
      </c>
    </row>
    <row r="53" spans="1:40" ht="27.75" customHeight="1" x14ac:dyDescent="0.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40" ht="27.75" customHeight="1" x14ac:dyDescent="0.4">
      <c r="B54" s="1" t="s">
        <v>32</v>
      </c>
      <c r="C54" s="3">
        <v>2.0299999999999998</v>
      </c>
      <c r="D54" s="4">
        <v>3.03</v>
      </c>
      <c r="E54" s="4">
        <v>4.03</v>
      </c>
      <c r="F54" s="4">
        <v>5.03</v>
      </c>
      <c r="G54" s="4">
        <v>6.03</v>
      </c>
      <c r="H54" s="5">
        <v>7.03</v>
      </c>
      <c r="I54" s="4">
        <v>9.0299999999999994</v>
      </c>
      <c r="J54" s="4">
        <v>10.029999999999999</v>
      </c>
      <c r="K54" s="5">
        <v>11.03</v>
      </c>
      <c r="L54" s="5">
        <v>12.03</v>
      </c>
      <c r="M54" s="4">
        <v>13.03</v>
      </c>
      <c r="N54" s="4">
        <v>14.03</v>
      </c>
      <c r="O54" s="4">
        <v>16.03</v>
      </c>
      <c r="P54" s="4">
        <v>17.03</v>
      </c>
      <c r="Q54" s="4">
        <v>18.03</v>
      </c>
      <c r="R54" s="4">
        <v>19.03</v>
      </c>
      <c r="S54" s="4">
        <v>20.03</v>
      </c>
      <c r="T54" s="5">
        <v>21.02</v>
      </c>
      <c r="U54" s="4">
        <v>23.03</v>
      </c>
      <c r="V54" s="4">
        <v>24.03</v>
      </c>
      <c r="W54" s="4">
        <v>25.03</v>
      </c>
      <c r="X54" s="6">
        <v>26.03</v>
      </c>
      <c r="Y54" s="8">
        <v>27.03</v>
      </c>
      <c r="Z54" s="8">
        <v>28.02</v>
      </c>
      <c r="AA54" s="8">
        <v>30.03</v>
      </c>
      <c r="AB54" s="8">
        <v>31.03</v>
      </c>
      <c r="AC54" s="9" t="s">
        <v>1</v>
      </c>
      <c r="AD54" s="10" t="s">
        <v>2</v>
      </c>
      <c r="AE54" s="11" t="s">
        <v>3</v>
      </c>
      <c r="AF54" s="12" t="s">
        <v>4</v>
      </c>
      <c r="AG54" s="12" t="s">
        <v>5</v>
      </c>
      <c r="AH54" s="10" t="s">
        <v>6</v>
      </c>
      <c r="AI54" s="10" t="s">
        <v>7</v>
      </c>
      <c r="AJ54" s="13" t="s">
        <v>8</v>
      </c>
      <c r="AK54" s="10" t="s">
        <v>9</v>
      </c>
      <c r="AL54" s="10" t="s">
        <v>10</v>
      </c>
      <c r="AM54" s="14" t="s">
        <v>11</v>
      </c>
      <c r="AN54" s="10" t="s">
        <v>12</v>
      </c>
    </row>
    <row r="55" spans="1:40" ht="45.75" customHeight="1" x14ac:dyDescent="0.6">
      <c r="A55" s="15">
        <v>6</v>
      </c>
      <c r="B55" s="16" t="s">
        <v>33</v>
      </c>
      <c r="C55" s="17">
        <v>193</v>
      </c>
      <c r="D55" s="17">
        <f>131.5+23/6</f>
        <v>135.33333333333334</v>
      </c>
      <c r="E55" s="18">
        <v>191</v>
      </c>
      <c r="F55" s="17">
        <v>191.75</v>
      </c>
      <c r="G55" s="17">
        <v>183.5</v>
      </c>
      <c r="H55" s="19">
        <v>0</v>
      </c>
      <c r="I55" s="17">
        <v>149</v>
      </c>
      <c r="J55" s="17">
        <v>47.5</v>
      </c>
      <c r="K55" s="19">
        <v>0</v>
      </c>
      <c r="L55" s="19">
        <v>0</v>
      </c>
      <c r="M55" s="17">
        <v>194.5</v>
      </c>
      <c r="N55" s="17">
        <v>188.5</v>
      </c>
      <c r="O55" s="17">
        <v>93</v>
      </c>
      <c r="P55" s="17">
        <v>73.5</v>
      </c>
      <c r="Q55" s="17">
        <f>84+6/6</f>
        <v>85</v>
      </c>
      <c r="R55" s="17">
        <v>144</v>
      </c>
      <c r="S55" s="17">
        <f>141.5+8/6</f>
        <v>142.83333333333334</v>
      </c>
      <c r="T55" s="19">
        <v>0</v>
      </c>
      <c r="U55" s="17">
        <v>191.75</v>
      </c>
      <c r="V55" s="17">
        <f>156.25+7/6</f>
        <v>157.41666666666666</v>
      </c>
      <c r="W55" s="17">
        <v>166</v>
      </c>
      <c r="X55" s="17">
        <v>144.5</v>
      </c>
      <c r="Y55" s="17">
        <f>104.5+30/6</f>
        <v>109.5</v>
      </c>
      <c r="Z55" s="17">
        <v>200.5</v>
      </c>
      <c r="AA55" s="17">
        <v>147</v>
      </c>
      <c r="AB55" s="17">
        <v>141</v>
      </c>
      <c r="AC55" s="20">
        <f>SUM(C55:AB55)</f>
        <v>3270.0833333333335</v>
      </c>
      <c r="AD55" s="21">
        <v>22</v>
      </c>
      <c r="AE55" s="21">
        <f>AD55*166</f>
        <v>3652</v>
      </c>
      <c r="AF55" s="21">
        <f>AC55-AE55</f>
        <v>-381.91666666666652</v>
      </c>
      <c r="AG55" s="21">
        <v>26</v>
      </c>
      <c r="AH55" s="21">
        <f>AF55/175</f>
        <v>-2.1823809523809516</v>
      </c>
      <c r="AI55" s="21">
        <f>AK55/AG55</f>
        <v>326.92307692307691</v>
      </c>
      <c r="AJ55" s="22">
        <f>AI55*AH55</f>
        <v>-713.47069597069572</v>
      </c>
      <c r="AK55" s="21">
        <v>8500</v>
      </c>
      <c r="AL55" s="23">
        <f>AK55+AJ55</f>
        <v>7786.5293040293045</v>
      </c>
      <c r="AM55" s="16" t="s">
        <v>33</v>
      </c>
      <c r="AN55" s="37"/>
    </row>
    <row r="56" spans="1:40" ht="27.75" customHeight="1" x14ac:dyDescent="0.4">
      <c r="A56" s="25"/>
      <c r="B56" s="1" t="s">
        <v>16</v>
      </c>
      <c r="C56" s="26">
        <v>15</v>
      </c>
      <c r="D56" s="26">
        <v>14</v>
      </c>
      <c r="E56" s="26">
        <v>15</v>
      </c>
      <c r="F56" s="26">
        <v>16</v>
      </c>
      <c r="G56" s="26">
        <v>15</v>
      </c>
      <c r="H56" s="27">
        <v>0</v>
      </c>
      <c r="I56" s="26">
        <v>14</v>
      </c>
      <c r="J56" s="26">
        <v>9</v>
      </c>
      <c r="K56" s="27">
        <v>0</v>
      </c>
      <c r="L56" s="27">
        <v>0</v>
      </c>
      <c r="M56" s="26">
        <v>15</v>
      </c>
      <c r="N56" s="26">
        <v>16</v>
      </c>
      <c r="O56" s="26">
        <v>14</v>
      </c>
      <c r="P56" s="26">
        <v>8</v>
      </c>
      <c r="Q56" s="26">
        <v>10</v>
      </c>
      <c r="R56" s="26">
        <v>13</v>
      </c>
      <c r="S56" s="26">
        <v>15</v>
      </c>
      <c r="T56" s="27">
        <v>0</v>
      </c>
      <c r="U56" s="26">
        <v>15</v>
      </c>
      <c r="V56" s="26">
        <v>14</v>
      </c>
      <c r="W56" s="26">
        <v>13</v>
      </c>
      <c r="X56" s="26">
        <v>14</v>
      </c>
      <c r="Y56" s="26">
        <v>14</v>
      </c>
      <c r="Z56" s="26">
        <v>15</v>
      </c>
      <c r="AA56" s="26">
        <v>14</v>
      </c>
      <c r="AB56" s="26">
        <v>14</v>
      </c>
    </row>
    <row r="57" spans="1:40" ht="27.75" customHeight="1" x14ac:dyDescent="0.4">
      <c r="A57" s="25"/>
      <c r="B57" s="1" t="s">
        <v>17</v>
      </c>
      <c r="C57" s="26">
        <f>C55/C56</f>
        <v>12.866666666666667</v>
      </c>
      <c r="D57" s="26">
        <f>D55/D56</f>
        <v>9.6666666666666679</v>
      </c>
      <c r="E57" s="26">
        <f>E55/E56</f>
        <v>12.733333333333333</v>
      </c>
      <c r="F57" s="26">
        <f>F55/F56</f>
        <v>11.984375</v>
      </c>
      <c r="G57" s="26">
        <f>G55/G56</f>
        <v>12.233333333333333</v>
      </c>
      <c r="H57" s="27">
        <v>0</v>
      </c>
      <c r="I57" s="26">
        <f>I55/I56</f>
        <v>10.642857142857142</v>
      </c>
      <c r="J57" s="26">
        <f>J55/J56</f>
        <v>5.2777777777777777</v>
      </c>
      <c r="K57" s="27">
        <v>0</v>
      </c>
      <c r="L57" s="27">
        <v>0</v>
      </c>
      <c r="M57" s="26">
        <f t="shared" ref="M57:S57" si="18">M55/M56</f>
        <v>12.966666666666667</v>
      </c>
      <c r="N57" s="26">
        <f t="shared" si="18"/>
        <v>11.78125</v>
      </c>
      <c r="O57" s="26">
        <f t="shared" si="18"/>
        <v>6.6428571428571432</v>
      </c>
      <c r="P57" s="26">
        <f t="shared" si="18"/>
        <v>9.1875</v>
      </c>
      <c r="Q57" s="26">
        <f t="shared" si="18"/>
        <v>8.5</v>
      </c>
      <c r="R57" s="26">
        <f t="shared" si="18"/>
        <v>11.076923076923077</v>
      </c>
      <c r="S57" s="26">
        <f t="shared" si="18"/>
        <v>9.5222222222222221</v>
      </c>
      <c r="T57" s="27">
        <v>0</v>
      </c>
      <c r="U57" s="26">
        <f t="shared" ref="U57:AB57" si="19">U55/U56</f>
        <v>12.783333333333333</v>
      </c>
      <c r="V57" s="26">
        <f t="shared" si="19"/>
        <v>11.244047619047619</v>
      </c>
      <c r="W57" s="26">
        <f t="shared" si="19"/>
        <v>12.76923076923077</v>
      </c>
      <c r="X57" s="26">
        <f t="shared" si="19"/>
        <v>10.321428571428571</v>
      </c>
      <c r="Y57" s="26">
        <f t="shared" si="19"/>
        <v>7.8214285714285712</v>
      </c>
      <c r="Z57" s="26">
        <f t="shared" si="19"/>
        <v>13.366666666666667</v>
      </c>
      <c r="AA57" s="26">
        <f t="shared" si="19"/>
        <v>10.5</v>
      </c>
      <c r="AB57" s="26">
        <f t="shared" si="19"/>
        <v>10.071428571428571</v>
      </c>
      <c r="AC57" s="2">
        <f>SUM(C57:AB57)</f>
        <v>233.95999313186815</v>
      </c>
      <c r="AE57" s="1" t="s">
        <v>18</v>
      </c>
      <c r="AG57" s="1">
        <f>AI55/11.5</f>
        <v>28.42809364548495</v>
      </c>
    </row>
    <row r="58" spans="1:40" ht="27.75" customHeight="1" x14ac:dyDescent="0.4">
      <c r="A58" s="25"/>
      <c r="B58" s="1" t="s">
        <v>19</v>
      </c>
      <c r="C58" s="26">
        <v>11.5</v>
      </c>
      <c r="D58" s="26">
        <v>11.5</v>
      </c>
      <c r="E58" s="26">
        <v>11.5</v>
      </c>
      <c r="F58" s="26">
        <v>11.5</v>
      </c>
      <c r="G58" s="26">
        <v>11.5</v>
      </c>
      <c r="H58" s="27">
        <v>0</v>
      </c>
      <c r="I58" s="26">
        <v>11.5</v>
      </c>
      <c r="J58" s="26">
        <v>11.5</v>
      </c>
      <c r="K58" s="27">
        <v>0</v>
      </c>
      <c r="L58" s="27">
        <v>0</v>
      </c>
      <c r="M58" s="26">
        <v>11.5</v>
      </c>
      <c r="N58" s="26">
        <v>11.5</v>
      </c>
      <c r="O58" s="26">
        <v>11.5</v>
      </c>
      <c r="P58" s="26">
        <v>11.5</v>
      </c>
      <c r="Q58" s="26">
        <v>11.5</v>
      </c>
      <c r="R58" s="26">
        <v>11.5</v>
      </c>
      <c r="S58" s="26">
        <v>11.5</v>
      </c>
      <c r="T58" s="27">
        <v>0</v>
      </c>
      <c r="U58" s="26">
        <v>11.5</v>
      </c>
      <c r="V58" s="26">
        <v>11.5</v>
      </c>
      <c r="W58" s="26">
        <v>11.5</v>
      </c>
      <c r="X58" s="26">
        <v>11.5</v>
      </c>
      <c r="Y58" s="26">
        <v>11.5</v>
      </c>
      <c r="Z58" s="26">
        <v>11.5</v>
      </c>
      <c r="AA58" s="26">
        <v>11.5</v>
      </c>
      <c r="AB58" s="26">
        <v>11.5</v>
      </c>
      <c r="AC58" s="2">
        <f>SUM(C58:AB58)</f>
        <v>253</v>
      </c>
      <c r="AE58" s="1" t="s">
        <v>20</v>
      </c>
      <c r="AG58" s="1">
        <f>AC59*AG57</f>
        <v>-541.27109825792934</v>
      </c>
    </row>
    <row r="59" spans="1:40" ht="27.75" customHeight="1" x14ac:dyDescent="0.4">
      <c r="A59" s="28"/>
      <c r="B59" s="29" t="s">
        <v>21</v>
      </c>
      <c r="C59" s="30">
        <f t="shared" ref="C59:AB59" si="20">C57-C58</f>
        <v>1.3666666666666671</v>
      </c>
      <c r="D59" s="30">
        <f t="shared" si="20"/>
        <v>-1.8333333333333321</v>
      </c>
      <c r="E59" s="30">
        <f t="shared" si="20"/>
        <v>1.2333333333333325</v>
      </c>
      <c r="F59" s="30">
        <f t="shared" si="20"/>
        <v>0.484375</v>
      </c>
      <c r="G59" s="30">
        <f t="shared" si="20"/>
        <v>0.7333333333333325</v>
      </c>
      <c r="H59" s="31">
        <f t="shared" si="20"/>
        <v>0</v>
      </c>
      <c r="I59" s="30">
        <f t="shared" si="20"/>
        <v>-0.85714285714285765</v>
      </c>
      <c r="J59" s="30">
        <f t="shared" si="20"/>
        <v>-6.2222222222222223</v>
      </c>
      <c r="K59" s="31">
        <f t="shared" si="20"/>
        <v>0</v>
      </c>
      <c r="L59" s="31">
        <f t="shared" si="20"/>
        <v>0</v>
      </c>
      <c r="M59" s="30">
        <f t="shared" si="20"/>
        <v>1.4666666666666668</v>
      </c>
      <c r="N59" s="30">
        <f t="shared" si="20"/>
        <v>0.28125</v>
      </c>
      <c r="O59" s="30">
        <f t="shared" si="20"/>
        <v>-4.8571428571428568</v>
      </c>
      <c r="P59" s="30">
        <f t="shared" si="20"/>
        <v>-2.3125</v>
      </c>
      <c r="Q59" s="30">
        <f t="shared" si="20"/>
        <v>-3</v>
      </c>
      <c r="R59" s="30">
        <f t="shared" si="20"/>
        <v>-0.42307692307692335</v>
      </c>
      <c r="S59" s="30">
        <f t="shared" si="20"/>
        <v>-1.9777777777777779</v>
      </c>
      <c r="T59" s="31">
        <f t="shared" si="20"/>
        <v>0</v>
      </c>
      <c r="U59" s="30">
        <f t="shared" si="20"/>
        <v>1.2833333333333332</v>
      </c>
      <c r="V59" s="30">
        <f t="shared" si="20"/>
        <v>-0.25595238095238138</v>
      </c>
      <c r="W59" s="30">
        <f t="shared" si="20"/>
        <v>1.2692307692307701</v>
      </c>
      <c r="X59" s="30">
        <f t="shared" si="20"/>
        <v>-1.1785714285714288</v>
      </c>
      <c r="Y59" s="30">
        <f t="shared" si="20"/>
        <v>-3.6785714285714288</v>
      </c>
      <c r="Z59" s="30">
        <f t="shared" si="20"/>
        <v>1.8666666666666671</v>
      </c>
      <c r="AA59" s="30">
        <f t="shared" si="20"/>
        <v>-1</v>
      </c>
      <c r="AB59" s="30">
        <f t="shared" si="20"/>
        <v>-1.4285714285714288</v>
      </c>
      <c r="AC59" s="2">
        <f>SUM(C59:AB59)</f>
        <v>-19.040006868131869</v>
      </c>
    </row>
    <row r="60" spans="1:40" ht="27.75" customHeight="1" x14ac:dyDescent="0.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40" ht="27.75" customHeight="1" x14ac:dyDescent="0.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40" ht="27.75" customHeight="1" x14ac:dyDescent="0.4">
      <c r="B62" s="1" t="s">
        <v>34</v>
      </c>
      <c r="C62" s="3">
        <v>2.0299999999999998</v>
      </c>
      <c r="D62" s="4">
        <v>3.03</v>
      </c>
      <c r="E62" s="4">
        <v>4.03</v>
      </c>
      <c r="F62" s="4">
        <v>5.03</v>
      </c>
      <c r="G62" s="4">
        <v>6.03</v>
      </c>
      <c r="H62" s="4">
        <v>7.03</v>
      </c>
      <c r="I62" s="5">
        <v>9.0299999999999994</v>
      </c>
      <c r="J62" s="4">
        <v>10.029999999999999</v>
      </c>
      <c r="K62" s="4">
        <v>11.03</v>
      </c>
      <c r="L62" s="4">
        <v>12.03</v>
      </c>
      <c r="M62" s="4">
        <v>13.03</v>
      </c>
      <c r="N62" s="4">
        <v>14.03</v>
      </c>
      <c r="O62" s="4">
        <v>16.03</v>
      </c>
      <c r="P62" s="4">
        <v>17.03</v>
      </c>
      <c r="Q62" s="5">
        <v>18.03</v>
      </c>
      <c r="R62" s="4">
        <v>19.03</v>
      </c>
      <c r="S62" s="4">
        <v>20.03</v>
      </c>
      <c r="T62" s="5">
        <v>21.02</v>
      </c>
      <c r="U62" s="4">
        <v>23.03</v>
      </c>
      <c r="V62" s="4">
        <v>24.03</v>
      </c>
      <c r="W62" s="4">
        <v>25.03</v>
      </c>
      <c r="X62" s="6">
        <v>26.03</v>
      </c>
      <c r="Y62" s="8">
        <v>27.03</v>
      </c>
      <c r="Z62" s="8">
        <v>28.02</v>
      </c>
      <c r="AA62" s="8">
        <v>30.03</v>
      </c>
      <c r="AB62" s="8">
        <v>31.03</v>
      </c>
      <c r="AC62" s="9" t="s">
        <v>1</v>
      </c>
      <c r="AD62" s="10" t="s">
        <v>2</v>
      </c>
      <c r="AE62" s="11" t="s">
        <v>3</v>
      </c>
      <c r="AF62" s="12" t="s">
        <v>4</v>
      </c>
      <c r="AG62" s="12" t="s">
        <v>5</v>
      </c>
      <c r="AH62" s="10" t="s">
        <v>6</v>
      </c>
      <c r="AI62" s="10" t="s">
        <v>7</v>
      </c>
      <c r="AJ62" s="13" t="s">
        <v>8</v>
      </c>
      <c r="AK62" s="10" t="s">
        <v>9</v>
      </c>
      <c r="AL62" s="10" t="s">
        <v>10</v>
      </c>
      <c r="AM62" s="14" t="s">
        <v>11</v>
      </c>
      <c r="AN62" s="10" t="s">
        <v>12</v>
      </c>
    </row>
    <row r="63" spans="1:40" ht="41.25" customHeight="1" x14ac:dyDescent="0.6">
      <c r="A63" s="15">
        <v>7</v>
      </c>
      <c r="B63" s="16" t="s">
        <v>35</v>
      </c>
      <c r="C63" s="17">
        <v>193</v>
      </c>
      <c r="D63" s="17">
        <f>131.5+23/6</f>
        <v>135.33333333333334</v>
      </c>
      <c r="E63" s="18">
        <v>191</v>
      </c>
      <c r="F63" s="17">
        <v>191.75</v>
      </c>
      <c r="G63" s="17">
        <v>183.5</v>
      </c>
      <c r="H63" s="17">
        <v>173</v>
      </c>
      <c r="I63" s="19">
        <v>0</v>
      </c>
      <c r="J63" s="17">
        <v>47.5</v>
      </c>
      <c r="K63" s="17">
        <v>97.5</v>
      </c>
      <c r="L63" s="17">
        <v>146.5</v>
      </c>
      <c r="M63" s="17">
        <v>194.5</v>
      </c>
      <c r="N63" s="17">
        <v>188.5</v>
      </c>
      <c r="O63" s="17">
        <v>93</v>
      </c>
      <c r="P63" s="17">
        <v>73.5</v>
      </c>
      <c r="Q63" s="19">
        <v>0</v>
      </c>
      <c r="R63" s="17">
        <v>144</v>
      </c>
      <c r="S63" s="17">
        <f>141.5+8/6</f>
        <v>142.83333333333334</v>
      </c>
      <c r="T63" s="19">
        <v>0</v>
      </c>
      <c r="U63" s="17">
        <v>191.75</v>
      </c>
      <c r="V63" s="17">
        <f>156.25+7/6</f>
        <v>157.41666666666666</v>
      </c>
      <c r="W63" s="17">
        <v>166</v>
      </c>
      <c r="X63" s="17">
        <v>144.5</v>
      </c>
      <c r="Y63" s="17">
        <f>104.5+30/6</f>
        <v>109.5</v>
      </c>
      <c r="Z63" s="17">
        <v>200.5</v>
      </c>
      <c r="AA63" s="17">
        <v>147</v>
      </c>
      <c r="AB63" s="17">
        <v>141</v>
      </c>
      <c r="AC63" s="20">
        <f>SUM(C63:AB63)</f>
        <v>3453.0833333333335</v>
      </c>
      <c r="AD63" s="21">
        <v>23</v>
      </c>
      <c r="AE63" s="21">
        <f>AD63*166</f>
        <v>3818</v>
      </c>
      <c r="AF63" s="21">
        <f>AC63-AE63</f>
        <v>-364.91666666666652</v>
      </c>
      <c r="AG63" s="21">
        <v>26</v>
      </c>
      <c r="AH63" s="21">
        <f>AF63/175</f>
        <v>-2.0852380952380942</v>
      </c>
      <c r="AI63" s="21">
        <f>AK63/AG63</f>
        <v>307.69230769230768</v>
      </c>
      <c r="AJ63" s="22">
        <f>AI63*AH63</f>
        <v>-641.61172161172124</v>
      </c>
      <c r="AK63" s="21">
        <v>8000</v>
      </c>
      <c r="AL63" s="23">
        <f>AK63+AJ63</f>
        <v>7358.3882783882791</v>
      </c>
      <c r="AM63" s="16" t="s">
        <v>35</v>
      </c>
      <c r="AN63" s="24"/>
    </row>
    <row r="64" spans="1:40" ht="27.75" customHeight="1" x14ac:dyDescent="0.4">
      <c r="A64" s="25"/>
      <c r="B64" s="1" t="s">
        <v>16</v>
      </c>
      <c r="C64" s="26">
        <v>15</v>
      </c>
      <c r="D64" s="26">
        <v>14</v>
      </c>
      <c r="E64" s="26">
        <v>15</v>
      </c>
      <c r="F64" s="26">
        <v>16</v>
      </c>
      <c r="G64" s="26">
        <v>15</v>
      </c>
      <c r="H64" s="26">
        <v>14</v>
      </c>
      <c r="I64" s="27">
        <v>0</v>
      </c>
      <c r="J64" s="26">
        <v>9</v>
      </c>
      <c r="K64" s="26">
        <v>14</v>
      </c>
      <c r="L64" s="26">
        <v>14</v>
      </c>
      <c r="M64" s="26">
        <v>15</v>
      </c>
      <c r="N64" s="26">
        <v>16</v>
      </c>
      <c r="O64" s="26">
        <v>14</v>
      </c>
      <c r="P64" s="26">
        <v>8</v>
      </c>
      <c r="Q64" s="27">
        <v>0</v>
      </c>
      <c r="R64" s="26">
        <v>13</v>
      </c>
      <c r="S64" s="26">
        <v>15</v>
      </c>
      <c r="T64" s="27">
        <v>0</v>
      </c>
      <c r="U64" s="26">
        <v>15</v>
      </c>
      <c r="V64" s="26">
        <v>14</v>
      </c>
      <c r="W64" s="26">
        <v>13</v>
      </c>
      <c r="X64" s="26">
        <v>14</v>
      </c>
      <c r="Y64" s="26">
        <v>14</v>
      </c>
      <c r="Z64" s="26">
        <v>15</v>
      </c>
      <c r="AA64" s="26">
        <v>14</v>
      </c>
      <c r="AB64" s="26">
        <v>14</v>
      </c>
    </row>
    <row r="65" spans="1:40" ht="27.75" customHeight="1" x14ac:dyDescent="0.4">
      <c r="A65" s="25"/>
      <c r="B65" s="1" t="s">
        <v>17</v>
      </c>
      <c r="C65" s="26">
        <f t="shared" ref="C65:H65" si="21">C63/C64</f>
        <v>12.866666666666667</v>
      </c>
      <c r="D65" s="26">
        <f t="shared" si="21"/>
        <v>9.6666666666666679</v>
      </c>
      <c r="E65" s="26">
        <f t="shared" si="21"/>
        <v>12.733333333333333</v>
      </c>
      <c r="F65" s="26">
        <f t="shared" si="21"/>
        <v>11.984375</v>
      </c>
      <c r="G65" s="26">
        <f t="shared" si="21"/>
        <v>12.233333333333333</v>
      </c>
      <c r="H65" s="26">
        <f t="shared" si="21"/>
        <v>12.357142857142858</v>
      </c>
      <c r="I65" s="27">
        <v>0</v>
      </c>
      <c r="J65" s="26">
        <f t="shared" ref="J65:P65" si="22">J63/J64</f>
        <v>5.2777777777777777</v>
      </c>
      <c r="K65" s="26">
        <f t="shared" si="22"/>
        <v>6.9642857142857144</v>
      </c>
      <c r="L65" s="26">
        <f t="shared" si="22"/>
        <v>10.464285714285714</v>
      </c>
      <c r="M65" s="26">
        <f t="shared" si="22"/>
        <v>12.966666666666667</v>
      </c>
      <c r="N65" s="26">
        <f t="shared" si="22"/>
        <v>11.78125</v>
      </c>
      <c r="O65" s="26">
        <f t="shared" si="22"/>
        <v>6.6428571428571432</v>
      </c>
      <c r="P65" s="26">
        <f t="shared" si="22"/>
        <v>9.1875</v>
      </c>
      <c r="Q65" s="27">
        <v>0</v>
      </c>
      <c r="R65" s="26">
        <f>R63/R64</f>
        <v>11.076923076923077</v>
      </c>
      <c r="S65" s="26">
        <f>S63/S64</f>
        <v>9.5222222222222221</v>
      </c>
      <c r="T65" s="27">
        <v>0</v>
      </c>
      <c r="U65" s="26">
        <f t="shared" ref="U65:AB65" si="23">U63/U64</f>
        <v>12.783333333333333</v>
      </c>
      <c r="V65" s="26">
        <f t="shared" si="23"/>
        <v>11.244047619047619</v>
      </c>
      <c r="W65" s="26">
        <f t="shared" si="23"/>
        <v>12.76923076923077</v>
      </c>
      <c r="X65" s="26">
        <f t="shared" si="23"/>
        <v>10.321428571428571</v>
      </c>
      <c r="Y65" s="26">
        <f t="shared" si="23"/>
        <v>7.8214285714285712</v>
      </c>
      <c r="Z65" s="26">
        <f t="shared" si="23"/>
        <v>13.366666666666667</v>
      </c>
      <c r="AA65" s="26">
        <f t="shared" si="23"/>
        <v>10.5</v>
      </c>
      <c r="AB65" s="26">
        <f t="shared" si="23"/>
        <v>10.071428571428571</v>
      </c>
      <c r="AC65" s="2">
        <f>SUM(C65:AB65)</f>
        <v>244.60285027472528</v>
      </c>
      <c r="AE65" s="1" t="s">
        <v>18</v>
      </c>
      <c r="AG65" s="1">
        <f>AI63/11.5</f>
        <v>26.755852842809364</v>
      </c>
    </row>
    <row r="66" spans="1:40" ht="27.75" customHeight="1" x14ac:dyDescent="0.4">
      <c r="A66" s="25"/>
      <c r="B66" s="1" t="s">
        <v>19</v>
      </c>
      <c r="C66" s="26">
        <v>11.5</v>
      </c>
      <c r="D66" s="26">
        <v>11.5</v>
      </c>
      <c r="E66" s="26">
        <v>11.5</v>
      </c>
      <c r="F66" s="26">
        <v>11.5</v>
      </c>
      <c r="G66" s="26">
        <v>11.5</v>
      </c>
      <c r="H66" s="26">
        <v>11.5</v>
      </c>
      <c r="I66" s="27">
        <v>0</v>
      </c>
      <c r="J66" s="26">
        <v>11.5</v>
      </c>
      <c r="K66" s="26">
        <v>11.5</v>
      </c>
      <c r="L66" s="26">
        <v>11.5</v>
      </c>
      <c r="M66" s="26">
        <v>11.5</v>
      </c>
      <c r="N66" s="26">
        <v>11.5</v>
      </c>
      <c r="O66" s="26">
        <v>11.5</v>
      </c>
      <c r="P66" s="26">
        <v>11.5</v>
      </c>
      <c r="Q66" s="27">
        <v>0</v>
      </c>
      <c r="R66" s="26">
        <v>11.5</v>
      </c>
      <c r="S66" s="26">
        <v>11.5</v>
      </c>
      <c r="T66" s="27">
        <v>0</v>
      </c>
      <c r="U66" s="26">
        <v>11.5</v>
      </c>
      <c r="V66" s="26">
        <v>11.5</v>
      </c>
      <c r="W66" s="26">
        <v>11.5</v>
      </c>
      <c r="X66" s="26">
        <v>11.5</v>
      </c>
      <c r="Y66" s="26">
        <v>11.5</v>
      </c>
      <c r="Z66" s="26">
        <v>11.5</v>
      </c>
      <c r="AA66" s="26">
        <v>11.5</v>
      </c>
      <c r="AB66" s="26">
        <v>11.5</v>
      </c>
      <c r="AC66" s="2">
        <f>SUM(C66:AB66)</f>
        <v>264.5</v>
      </c>
      <c r="AE66" s="1" t="s">
        <v>20</v>
      </c>
      <c r="AG66" s="1">
        <f>AC67*AG65</f>
        <v>-532.3652100407952</v>
      </c>
    </row>
    <row r="67" spans="1:40" ht="27.75" customHeight="1" x14ac:dyDescent="0.4">
      <c r="A67" s="28"/>
      <c r="B67" s="29" t="s">
        <v>21</v>
      </c>
      <c r="C67" s="30">
        <f t="shared" ref="C67:AB67" si="24">C65-C66</f>
        <v>1.3666666666666671</v>
      </c>
      <c r="D67" s="30">
        <f t="shared" si="24"/>
        <v>-1.8333333333333321</v>
      </c>
      <c r="E67" s="30">
        <f t="shared" si="24"/>
        <v>1.2333333333333325</v>
      </c>
      <c r="F67" s="30">
        <f t="shared" si="24"/>
        <v>0.484375</v>
      </c>
      <c r="G67" s="30">
        <f t="shared" si="24"/>
        <v>0.7333333333333325</v>
      </c>
      <c r="H67" s="30">
        <f t="shared" si="24"/>
        <v>0.85714285714285765</v>
      </c>
      <c r="I67" s="31">
        <f t="shared" si="24"/>
        <v>0</v>
      </c>
      <c r="J67" s="30">
        <f t="shared" si="24"/>
        <v>-6.2222222222222223</v>
      </c>
      <c r="K67" s="30">
        <f t="shared" si="24"/>
        <v>-4.5357142857142856</v>
      </c>
      <c r="L67" s="30">
        <f t="shared" si="24"/>
        <v>-1.0357142857142865</v>
      </c>
      <c r="M67" s="30">
        <f t="shared" si="24"/>
        <v>1.4666666666666668</v>
      </c>
      <c r="N67" s="30">
        <f t="shared" si="24"/>
        <v>0.28125</v>
      </c>
      <c r="O67" s="30">
        <f t="shared" si="24"/>
        <v>-4.8571428571428568</v>
      </c>
      <c r="P67" s="30">
        <f t="shared" si="24"/>
        <v>-2.3125</v>
      </c>
      <c r="Q67" s="31">
        <f t="shared" si="24"/>
        <v>0</v>
      </c>
      <c r="R67" s="30">
        <f t="shared" si="24"/>
        <v>-0.42307692307692335</v>
      </c>
      <c r="S67" s="30">
        <f t="shared" si="24"/>
        <v>-1.9777777777777779</v>
      </c>
      <c r="T67" s="31">
        <f t="shared" si="24"/>
        <v>0</v>
      </c>
      <c r="U67" s="30">
        <f t="shared" si="24"/>
        <v>1.2833333333333332</v>
      </c>
      <c r="V67" s="30">
        <f t="shared" si="24"/>
        <v>-0.25595238095238138</v>
      </c>
      <c r="W67" s="30">
        <f t="shared" si="24"/>
        <v>1.2692307692307701</v>
      </c>
      <c r="X67" s="30">
        <f t="shared" si="24"/>
        <v>-1.1785714285714288</v>
      </c>
      <c r="Y67" s="30">
        <f t="shared" si="24"/>
        <v>-3.6785714285714288</v>
      </c>
      <c r="Z67" s="30">
        <f t="shared" si="24"/>
        <v>1.8666666666666671</v>
      </c>
      <c r="AA67" s="30">
        <f t="shared" si="24"/>
        <v>-1</v>
      </c>
      <c r="AB67" s="30">
        <f t="shared" si="24"/>
        <v>-1.4285714285714288</v>
      </c>
      <c r="AC67" s="2">
        <f>SUM(C67:AB67)</f>
        <v>-19.897149725274723</v>
      </c>
    </row>
    <row r="68" spans="1:40" ht="27.75" customHeight="1" x14ac:dyDescent="0.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40" ht="27.75" customHeight="1" x14ac:dyDescent="0.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40" ht="27.75" customHeight="1" x14ac:dyDescent="0.4">
      <c r="B70" s="1" t="s">
        <v>36</v>
      </c>
      <c r="C70" s="3">
        <v>2.0299999999999998</v>
      </c>
      <c r="D70" s="4">
        <v>3.03</v>
      </c>
      <c r="E70" s="4">
        <v>4.03</v>
      </c>
      <c r="F70" s="4">
        <v>5.03</v>
      </c>
      <c r="G70" s="4">
        <v>6.03</v>
      </c>
      <c r="H70" s="4">
        <v>7.03</v>
      </c>
      <c r="I70" s="4">
        <v>9.0299999999999994</v>
      </c>
      <c r="J70" s="4">
        <v>10.029999999999999</v>
      </c>
      <c r="K70" s="4">
        <v>11.03</v>
      </c>
      <c r="L70" s="4">
        <v>12.03</v>
      </c>
      <c r="M70" s="4">
        <v>13.03</v>
      </c>
      <c r="N70" s="4">
        <v>14.03</v>
      </c>
      <c r="O70" s="5">
        <v>16.03</v>
      </c>
      <c r="P70" s="4">
        <v>17.03</v>
      </c>
      <c r="Q70" s="4">
        <v>18.03</v>
      </c>
      <c r="R70" s="4">
        <v>19.03</v>
      </c>
      <c r="S70" s="4">
        <v>20.03</v>
      </c>
      <c r="T70" s="4">
        <v>21.02</v>
      </c>
      <c r="U70" s="5">
        <v>23.03</v>
      </c>
      <c r="V70" s="4">
        <v>24.03</v>
      </c>
      <c r="W70" s="4">
        <v>25.03</v>
      </c>
      <c r="X70" s="33">
        <v>26.03</v>
      </c>
      <c r="Y70" s="8">
        <v>27.03</v>
      </c>
      <c r="Z70" s="8">
        <v>28.02</v>
      </c>
      <c r="AA70" s="8">
        <v>30.03</v>
      </c>
      <c r="AB70" s="8">
        <v>31.03</v>
      </c>
      <c r="AC70" s="9" t="s">
        <v>1</v>
      </c>
      <c r="AD70" s="10" t="s">
        <v>2</v>
      </c>
      <c r="AE70" s="11" t="s">
        <v>3</v>
      </c>
      <c r="AF70" s="12" t="s">
        <v>4</v>
      </c>
      <c r="AG70" s="12" t="s">
        <v>5</v>
      </c>
      <c r="AH70" s="10" t="s">
        <v>6</v>
      </c>
      <c r="AI70" s="10" t="s">
        <v>7</v>
      </c>
      <c r="AJ70" s="13" t="s">
        <v>8</v>
      </c>
      <c r="AK70" s="10" t="s">
        <v>9</v>
      </c>
      <c r="AL70" s="10" t="s">
        <v>10</v>
      </c>
      <c r="AM70" s="14" t="s">
        <v>11</v>
      </c>
      <c r="AN70" s="10" t="s">
        <v>12</v>
      </c>
    </row>
    <row r="71" spans="1:40" ht="44.25" customHeight="1" x14ac:dyDescent="0.6">
      <c r="A71" s="15">
        <v>8</v>
      </c>
      <c r="B71" s="46" t="s">
        <v>37</v>
      </c>
      <c r="C71" s="17">
        <v>193</v>
      </c>
      <c r="D71" s="17">
        <f>131.5+23/6</f>
        <v>135.33333333333334</v>
      </c>
      <c r="E71" s="18">
        <v>191</v>
      </c>
      <c r="F71" s="17">
        <v>191.75</v>
      </c>
      <c r="G71" s="17">
        <v>183.5</v>
      </c>
      <c r="H71" s="17">
        <v>173</v>
      </c>
      <c r="I71" s="17">
        <v>149</v>
      </c>
      <c r="J71" s="17">
        <v>47.5</v>
      </c>
      <c r="K71" s="17">
        <v>97.5</v>
      </c>
      <c r="L71" s="17">
        <v>146.5</v>
      </c>
      <c r="M71" s="17">
        <v>194.5</v>
      </c>
      <c r="N71" s="17">
        <v>188.5</v>
      </c>
      <c r="O71" s="19">
        <v>0</v>
      </c>
      <c r="P71" s="17">
        <v>73.5</v>
      </c>
      <c r="Q71" s="17">
        <f>84+6/6</f>
        <v>85</v>
      </c>
      <c r="R71" s="17">
        <v>144</v>
      </c>
      <c r="S71" s="17">
        <f>141.5+8/6</f>
        <v>142.83333333333334</v>
      </c>
      <c r="T71" s="17">
        <v>201</v>
      </c>
      <c r="U71" s="19">
        <v>0</v>
      </c>
      <c r="V71" s="17">
        <f>156.25+7/6</f>
        <v>157.41666666666666</v>
      </c>
      <c r="W71" s="17">
        <v>166</v>
      </c>
      <c r="X71" s="19">
        <v>0</v>
      </c>
      <c r="Y71" s="17">
        <f>104.5+30/6</f>
        <v>109.5</v>
      </c>
      <c r="Z71" s="17">
        <v>200.5</v>
      </c>
      <c r="AA71" s="17">
        <v>147</v>
      </c>
      <c r="AB71" s="17">
        <v>141</v>
      </c>
      <c r="AC71" s="20">
        <f>SUM(C71:AB71)</f>
        <v>3458.8333333333335</v>
      </c>
      <c r="AD71" s="21">
        <v>23</v>
      </c>
      <c r="AE71" s="21">
        <f>AD71*166</f>
        <v>3818</v>
      </c>
      <c r="AF71" s="21">
        <f>AC71-AE71</f>
        <v>-359.16666666666652</v>
      </c>
      <c r="AG71" s="21">
        <v>26</v>
      </c>
      <c r="AH71" s="21">
        <f>AF71/175</f>
        <v>-2.0523809523809513</v>
      </c>
      <c r="AI71" s="21">
        <f>AK71/AG71</f>
        <v>269.23076923076923</v>
      </c>
      <c r="AJ71" s="22">
        <f>AI71*AH71</f>
        <v>-552.56410256410231</v>
      </c>
      <c r="AK71" s="21">
        <v>7000</v>
      </c>
      <c r="AL71" s="23">
        <f>AK71+AJ71</f>
        <v>6447.4358974358975</v>
      </c>
      <c r="AM71" s="46" t="s">
        <v>37</v>
      </c>
      <c r="AN71" s="24"/>
    </row>
    <row r="72" spans="1:40" ht="27.75" customHeight="1" x14ac:dyDescent="0.4">
      <c r="A72" s="25"/>
      <c r="B72" s="1" t="s">
        <v>16</v>
      </c>
      <c r="C72" s="26">
        <v>15</v>
      </c>
      <c r="D72" s="26">
        <v>14</v>
      </c>
      <c r="E72" s="26">
        <v>15</v>
      </c>
      <c r="F72" s="26">
        <v>16</v>
      </c>
      <c r="G72" s="26">
        <v>15</v>
      </c>
      <c r="H72" s="26">
        <v>14</v>
      </c>
      <c r="I72" s="26">
        <v>14</v>
      </c>
      <c r="J72" s="26">
        <v>9</v>
      </c>
      <c r="K72" s="26">
        <v>14</v>
      </c>
      <c r="L72" s="26">
        <v>14</v>
      </c>
      <c r="M72" s="26">
        <v>15</v>
      </c>
      <c r="N72" s="26">
        <v>16</v>
      </c>
      <c r="O72" s="27">
        <v>0</v>
      </c>
      <c r="P72" s="26">
        <v>8</v>
      </c>
      <c r="Q72" s="26">
        <v>10</v>
      </c>
      <c r="R72" s="26">
        <v>13</v>
      </c>
      <c r="S72" s="26">
        <v>15</v>
      </c>
      <c r="T72" s="26">
        <v>14</v>
      </c>
      <c r="U72" s="27">
        <v>0</v>
      </c>
      <c r="V72" s="26">
        <v>14</v>
      </c>
      <c r="W72" s="26">
        <v>13</v>
      </c>
      <c r="X72" s="27">
        <v>0</v>
      </c>
      <c r="Y72" s="26">
        <v>14</v>
      </c>
      <c r="Z72" s="26">
        <v>15</v>
      </c>
      <c r="AA72" s="26">
        <v>14</v>
      </c>
      <c r="AB72" s="26">
        <v>14</v>
      </c>
    </row>
    <row r="73" spans="1:40" ht="27.75" customHeight="1" x14ac:dyDescent="0.4">
      <c r="A73" s="25"/>
      <c r="B73" s="1" t="s">
        <v>17</v>
      </c>
      <c r="C73" s="26">
        <f t="shared" ref="C73:N73" si="25">C71/C72</f>
        <v>12.866666666666667</v>
      </c>
      <c r="D73" s="26">
        <f t="shared" si="25"/>
        <v>9.6666666666666679</v>
      </c>
      <c r="E73" s="26">
        <f t="shared" si="25"/>
        <v>12.733333333333333</v>
      </c>
      <c r="F73" s="26">
        <f t="shared" si="25"/>
        <v>11.984375</v>
      </c>
      <c r="G73" s="26">
        <f t="shared" si="25"/>
        <v>12.233333333333333</v>
      </c>
      <c r="H73" s="26">
        <f t="shared" si="25"/>
        <v>12.357142857142858</v>
      </c>
      <c r="I73" s="26">
        <f t="shared" si="25"/>
        <v>10.642857142857142</v>
      </c>
      <c r="J73" s="26">
        <f t="shared" si="25"/>
        <v>5.2777777777777777</v>
      </c>
      <c r="K73" s="26">
        <f t="shared" si="25"/>
        <v>6.9642857142857144</v>
      </c>
      <c r="L73" s="26">
        <f t="shared" si="25"/>
        <v>10.464285714285714</v>
      </c>
      <c r="M73" s="26">
        <f t="shared" si="25"/>
        <v>12.966666666666667</v>
      </c>
      <c r="N73" s="26">
        <f t="shared" si="25"/>
        <v>11.78125</v>
      </c>
      <c r="O73" s="27">
        <v>0</v>
      </c>
      <c r="P73" s="26">
        <f>P71/P72</f>
        <v>9.1875</v>
      </c>
      <c r="Q73" s="26">
        <f>Q71/Q72</f>
        <v>8.5</v>
      </c>
      <c r="R73" s="26">
        <f>R71/R72</f>
        <v>11.076923076923077</v>
      </c>
      <c r="S73" s="26">
        <f>S71/S72</f>
        <v>9.5222222222222221</v>
      </c>
      <c r="T73" s="26">
        <f>T71/T72</f>
        <v>14.357142857142858</v>
      </c>
      <c r="U73" s="27">
        <v>0</v>
      </c>
      <c r="V73" s="26">
        <f>V71/V72</f>
        <v>11.244047619047619</v>
      </c>
      <c r="W73" s="26">
        <f>W71/W72</f>
        <v>12.76923076923077</v>
      </c>
      <c r="X73" s="27">
        <v>0</v>
      </c>
      <c r="Y73" s="26">
        <f>Y71/Y72</f>
        <v>7.8214285714285712</v>
      </c>
      <c r="Z73" s="26">
        <f>Z71/Z72</f>
        <v>13.366666666666667</v>
      </c>
      <c r="AA73" s="26">
        <f>AA71/AA72</f>
        <v>10.5</v>
      </c>
      <c r="AB73" s="26">
        <f>AB71/AB72</f>
        <v>10.071428571428571</v>
      </c>
      <c r="AC73" s="2">
        <f>SUM(C73:AB73)</f>
        <v>248.35523122710623</v>
      </c>
      <c r="AE73" s="1" t="s">
        <v>18</v>
      </c>
      <c r="AG73" s="1">
        <f>AI71/11.5</f>
        <v>23.411371237458194</v>
      </c>
    </row>
    <row r="74" spans="1:40" ht="27.75" customHeight="1" x14ac:dyDescent="0.4">
      <c r="A74" s="25"/>
      <c r="B74" s="1" t="s">
        <v>19</v>
      </c>
      <c r="C74" s="26">
        <v>11.5</v>
      </c>
      <c r="D74" s="26">
        <v>11.5</v>
      </c>
      <c r="E74" s="26">
        <v>11.5</v>
      </c>
      <c r="F74" s="26">
        <v>11.5</v>
      </c>
      <c r="G74" s="26">
        <v>11.5</v>
      </c>
      <c r="H74" s="26">
        <v>11.5</v>
      </c>
      <c r="I74" s="26">
        <v>11.5</v>
      </c>
      <c r="J74" s="26">
        <v>11.5</v>
      </c>
      <c r="K74" s="26">
        <v>11.5</v>
      </c>
      <c r="L74" s="26">
        <v>11.5</v>
      </c>
      <c r="M74" s="26">
        <v>11.5</v>
      </c>
      <c r="N74" s="26">
        <v>11.5</v>
      </c>
      <c r="O74" s="27">
        <v>0</v>
      </c>
      <c r="P74" s="26">
        <v>11.5</v>
      </c>
      <c r="Q74" s="26">
        <v>11.5</v>
      </c>
      <c r="R74" s="26">
        <v>11.5</v>
      </c>
      <c r="S74" s="26">
        <v>11.5</v>
      </c>
      <c r="T74" s="26">
        <v>11.5</v>
      </c>
      <c r="U74" s="27">
        <v>0</v>
      </c>
      <c r="V74" s="26">
        <v>11.5</v>
      </c>
      <c r="W74" s="26">
        <v>11.5</v>
      </c>
      <c r="X74" s="27">
        <v>0</v>
      </c>
      <c r="Y74" s="26">
        <v>11.5</v>
      </c>
      <c r="Z74" s="26">
        <v>11.5</v>
      </c>
      <c r="AA74" s="26">
        <v>11.5</v>
      </c>
      <c r="AB74" s="26">
        <v>11.5</v>
      </c>
      <c r="AC74" s="2">
        <f>SUM(C74:AB74)</f>
        <v>264.5</v>
      </c>
      <c r="AE74" s="1" t="s">
        <v>20</v>
      </c>
      <c r="AG74" s="1">
        <f>AC75*AG73</f>
        <v>-377.97117528513849</v>
      </c>
    </row>
    <row r="75" spans="1:40" ht="27.75" customHeight="1" x14ac:dyDescent="0.4">
      <c r="A75" s="28"/>
      <c r="B75" s="29" t="s">
        <v>21</v>
      </c>
      <c r="C75" s="30">
        <f t="shared" ref="C75:AB75" si="26">C73-C74</f>
        <v>1.3666666666666671</v>
      </c>
      <c r="D75" s="30">
        <f t="shared" si="26"/>
        <v>-1.8333333333333321</v>
      </c>
      <c r="E75" s="30">
        <f t="shared" si="26"/>
        <v>1.2333333333333325</v>
      </c>
      <c r="F75" s="30">
        <f t="shared" si="26"/>
        <v>0.484375</v>
      </c>
      <c r="G75" s="30">
        <f t="shared" si="26"/>
        <v>0.7333333333333325</v>
      </c>
      <c r="H75" s="30">
        <f t="shared" si="26"/>
        <v>0.85714285714285765</v>
      </c>
      <c r="I75" s="30">
        <f t="shared" si="26"/>
        <v>-0.85714285714285765</v>
      </c>
      <c r="J75" s="30">
        <f t="shared" si="26"/>
        <v>-6.2222222222222223</v>
      </c>
      <c r="K75" s="30">
        <f t="shared" si="26"/>
        <v>-4.5357142857142856</v>
      </c>
      <c r="L75" s="30">
        <f t="shared" si="26"/>
        <v>-1.0357142857142865</v>
      </c>
      <c r="M75" s="30">
        <f t="shared" si="26"/>
        <v>1.4666666666666668</v>
      </c>
      <c r="N75" s="30">
        <f t="shared" si="26"/>
        <v>0.28125</v>
      </c>
      <c r="O75" s="31">
        <f t="shared" si="26"/>
        <v>0</v>
      </c>
      <c r="P75" s="30">
        <f t="shared" si="26"/>
        <v>-2.3125</v>
      </c>
      <c r="Q75" s="30">
        <f t="shared" si="26"/>
        <v>-3</v>
      </c>
      <c r="R75" s="30">
        <f t="shared" si="26"/>
        <v>-0.42307692307692335</v>
      </c>
      <c r="S75" s="30">
        <f t="shared" si="26"/>
        <v>-1.9777777777777779</v>
      </c>
      <c r="T75" s="30">
        <f t="shared" si="26"/>
        <v>2.8571428571428577</v>
      </c>
      <c r="U75" s="31">
        <f t="shared" si="26"/>
        <v>0</v>
      </c>
      <c r="V75" s="30">
        <f t="shared" si="26"/>
        <v>-0.25595238095238138</v>
      </c>
      <c r="W75" s="30">
        <f t="shared" si="26"/>
        <v>1.2692307692307701</v>
      </c>
      <c r="X75" s="31">
        <f t="shared" si="26"/>
        <v>0</v>
      </c>
      <c r="Y75" s="30">
        <f t="shared" si="26"/>
        <v>-3.6785714285714288</v>
      </c>
      <c r="Z75" s="30">
        <f t="shared" si="26"/>
        <v>1.8666666666666671</v>
      </c>
      <c r="AA75" s="30">
        <f t="shared" si="26"/>
        <v>-1</v>
      </c>
      <c r="AB75" s="30">
        <f t="shared" si="26"/>
        <v>-1.4285714285714288</v>
      </c>
      <c r="AC75" s="2">
        <f>SUM(C75:AB75)</f>
        <v>-16.144768772893773</v>
      </c>
    </row>
    <row r="76" spans="1:40" ht="27.75" customHeight="1" x14ac:dyDescent="0.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40" ht="27.75" customHeight="1" x14ac:dyDescent="0.4">
      <c r="B77" s="1" t="s">
        <v>38</v>
      </c>
      <c r="C77" s="3">
        <v>2.0299999999999998</v>
      </c>
      <c r="D77" s="4">
        <v>3.03</v>
      </c>
      <c r="E77" s="4">
        <v>4.03</v>
      </c>
      <c r="F77" s="4">
        <v>5.03</v>
      </c>
      <c r="G77" s="4">
        <v>6.03</v>
      </c>
      <c r="H77" s="4">
        <v>7.03</v>
      </c>
      <c r="I77" s="4">
        <v>9.0299999999999994</v>
      </c>
      <c r="J77" s="5">
        <v>10.029999999999999</v>
      </c>
      <c r="K77" s="4">
        <v>11.03</v>
      </c>
      <c r="L77" s="4">
        <v>12.03</v>
      </c>
      <c r="M77" s="4">
        <v>13.03</v>
      </c>
      <c r="N77" s="4">
        <v>14.03</v>
      </c>
      <c r="O77" s="4">
        <v>16.03</v>
      </c>
      <c r="P77" s="4">
        <v>17.03</v>
      </c>
      <c r="Q77" s="4">
        <v>18.03</v>
      </c>
      <c r="R77" s="4">
        <v>19.03</v>
      </c>
      <c r="S77" s="4">
        <v>20.03</v>
      </c>
      <c r="T77" s="4">
        <v>21.02</v>
      </c>
      <c r="U77" s="4">
        <v>23.03</v>
      </c>
      <c r="V77" s="4">
        <v>24.03</v>
      </c>
      <c r="W77" s="5">
        <v>25.03</v>
      </c>
      <c r="X77" s="6">
        <v>26.03</v>
      </c>
      <c r="Y77" s="8">
        <v>27.03</v>
      </c>
      <c r="Z77" s="8">
        <v>28.02</v>
      </c>
      <c r="AA77" s="8">
        <v>30.03</v>
      </c>
      <c r="AB77" s="8">
        <v>31.03</v>
      </c>
      <c r="AC77" s="9" t="s">
        <v>1</v>
      </c>
      <c r="AD77" s="10" t="s">
        <v>2</v>
      </c>
      <c r="AE77" s="11" t="s">
        <v>3</v>
      </c>
      <c r="AF77" s="12" t="s">
        <v>4</v>
      </c>
      <c r="AG77" s="12" t="s">
        <v>5</v>
      </c>
      <c r="AH77" s="10" t="s">
        <v>6</v>
      </c>
      <c r="AI77" s="10" t="s">
        <v>7</v>
      </c>
      <c r="AJ77" s="13" t="s">
        <v>8</v>
      </c>
      <c r="AK77" s="10" t="s">
        <v>9</v>
      </c>
      <c r="AL77" s="10" t="s">
        <v>10</v>
      </c>
      <c r="AM77" s="14" t="s">
        <v>11</v>
      </c>
      <c r="AN77" s="10" t="s">
        <v>12</v>
      </c>
    </row>
    <row r="78" spans="1:40" ht="39.75" customHeight="1" x14ac:dyDescent="0.6">
      <c r="A78" s="15">
        <v>9</v>
      </c>
      <c r="B78" s="16" t="s">
        <v>39</v>
      </c>
      <c r="C78" s="17">
        <v>193</v>
      </c>
      <c r="D78" s="17">
        <f>131.5+23/6</f>
        <v>135.33333333333334</v>
      </c>
      <c r="E78" s="18">
        <v>191</v>
      </c>
      <c r="F78" s="17">
        <v>191.75</v>
      </c>
      <c r="G78" s="17">
        <v>183.5</v>
      </c>
      <c r="H78" s="17">
        <v>173</v>
      </c>
      <c r="I78" s="17">
        <v>149</v>
      </c>
      <c r="J78" s="19">
        <v>0</v>
      </c>
      <c r="K78" s="17">
        <v>97.5</v>
      </c>
      <c r="L78" s="17">
        <v>146.5</v>
      </c>
      <c r="M78" s="17">
        <v>194.5</v>
      </c>
      <c r="N78" s="17">
        <v>188.5</v>
      </c>
      <c r="O78" s="17">
        <v>93</v>
      </c>
      <c r="P78" s="17">
        <v>73.5</v>
      </c>
      <c r="Q78" s="17">
        <f>84+6/6</f>
        <v>85</v>
      </c>
      <c r="R78" s="17">
        <v>144</v>
      </c>
      <c r="S78" s="17">
        <f>141.5+8/6</f>
        <v>142.83333333333334</v>
      </c>
      <c r="T78" s="17">
        <v>201</v>
      </c>
      <c r="U78" s="17">
        <v>191.75</v>
      </c>
      <c r="V78" s="17">
        <f>156.25+7/6</f>
        <v>157.41666666666666</v>
      </c>
      <c r="W78" s="19">
        <v>0</v>
      </c>
      <c r="X78" s="17">
        <v>144.5</v>
      </c>
      <c r="Y78" s="17">
        <f>104.5+30/6</f>
        <v>109.5</v>
      </c>
      <c r="Z78" s="17">
        <v>200.5</v>
      </c>
      <c r="AA78" s="17">
        <v>147</v>
      </c>
      <c r="AB78" s="17">
        <v>141</v>
      </c>
      <c r="AC78" s="20">
        <f>SUM(C78:AB78)</f>
        <v>3674.5833333333335</v>
      </c>
      <c r="AD78" s="21">
        <v>24</v>
      </c>
      <c r="AE78" s="21">
        <f>AD78*166</f>
        <v>3984</v>
      </c>
      <c r="AF78" s="21">
        <f>AC78-AE78</f>
        <v>-309.41666666666652</v>
      </c>
      <c r="AG78" s="21">
        <v>26</v>
      </c>
      <c r="AH78" s="21">
        <f>AF78/175</f>
        <v>-1.7680952380952373</v>
      </c>
      <c r="AI78" s="21">
        <f>AK78/AG78</f>
        <v>346.15384615384613</v>
      </c>
      <c r="AJ78" s="22">
        <f>AI78*AH78</f>
        <v>-612.03296703296667</v>
      </c>
      <c r="AK78" s="21">
        <v>9000</v>
      </c>
      <c r="AL78" s="23">
        <f>AK78+AJ78</f>
        <v>8387.9670329670334</v>
      </c>
      <c r="AM78" s="16" t="s">
        <v>39</v>
      </c>
      <c r="AN78" s="47"/>
    </row>
    <row r="79" spans="1:40" ht="27.75" customHeight="1" x14ac:dyDescent="0.4">
      <c r="A79" s="25"/>
      <c r="B79" s="1" t="s">
        <v>16</v>
      </c>
      <c r="C79" s="26">
        <v>15</v>
      </c>
      <c r="D79" s="26">
        <v>14</v>
      </c>
      <c r="E79" s="26">
        <v>15</v>
      </c>
      <c r="F79" s="26">
        <v>16</v>
      </c>
      <c r="G79" s="26">
        <v>15</v>
      </c>
      <c r="H79" s="26">
        <v>14</v>
      </c>
      <c r="I79" s="26">
        <v>14</v>
      </c>
      <c r="J79" s="27">
        <v>0</v>
      </c>
      <c r="K79" s="26">
        <v>14</v>
      </c>
      <c r="L79" s="26">
        <v>14</v>
      </c>
      <c r="M79" s="26">
        <v>15</v>
      </c>
      <c r="N79" s="26">
        <v>16</v>
      </c>
      <c r="O79" s="26">
        <v>14</v>
      </c>
      <c r="P79" s="26">
        <v>8</v>
      </c>
      <c r="Q79" s="26">
        <v>10</v>
      </c>
      <c r="R79" s="26">
        <v>13</v>
      </c>
      <c r="S79" s="26">
        <v>15</v>
      </c>
      <c r="T79" s="26">
        <v>14</v>
      </c>
      <c r="U79" s="26">
        <v>15</v>
      </c>
      <c r="V79" s="26">
        <v>14</v>
      </c>
      <c r="W79" s="27">
        <v>0</v>
      </c>
      <c r="X79" s="26">
        <v>14</v>
      </c>
      <c r="Y79" s="26">
        <v>14</v>
      </c>
      <c r="Z79" s="26">
        <v>15</v>
      </c>
      <c r="AA79" s="26">
        <v>14</v>
      </c>
      <c r="AB79" s="26">
        <v>14</v>
      </c>
    </row>
    <row r="80" spans="1:40" ht="27.75" customHeight="1" x14ac:dyDescent="0.4">
      <c r="A80" s="25"/>
      <c r="B80" s="1" t="s">
        <v>17</v>
      </c>
      <c r="C80" s="26">
        <f t="shared" ref="C80:I80" si="27">C78/C79</f>
        <v>12.866666666666667</v>
      </c>
      <c r="D80" s="26">
        <f t="shared" si="27"/>
        <v>9.6666666666666679</v>
      </c>
      <c r="E80" s="26">
        <f t="shared" si="27"/>
        <v>12.733333333333333</v>
      </c>
      <c r="F80" s="26">
        <f t="shared" si="27"/>
        <v>11.984375</v>
      </c>
      <c r="G80" s="26">
        <f t="shared" si="27"/>
        <v>12.233333333333333</v>
      </c>
      <c r="H80" s="26">
        <f t="shared" si="27"/>
        <v>12.357142857142858</v>
      </c>
      <c r="I80" s="26">
        <f t="shared" si="27"/>
        <v>10.642857142857142</v>
      </c>
      <c r="J80" s="27">
        <v>0</v>
      </c>
      <c r="K80" s="26">
        <f t="shared" ref="K80:V80" si="28">K78/K79</f>
        <v>6.9642857142857144</v>
      </c>
      <c r="L80" s="26">
        <f t="shared" si="28"/>
        <v>10.464285714285714</v>
      </c>
      <c r="M80" s="26">
        <f t="shared" si="28"/>
        <v>12.966666666666667</v>
      </c>
      <c r="N80" s="26">
        <f t="shared" si="28"/>
        <v>11.78125</v>
      </c>
      <c r="O80" s="26">
        <f t="shared" si="28"/>
        <v>6.6428571428571432</v>
      </c>
      <c r="P80" s="26">
        <f t="shared" si="28"/>
        <v>9.1875</v>
      </c>
      <c r="Q80" s="26">
        <f t="shared" si="28"/>
        <v>8.5</v>
      </c>
      <c r="R80" s="26">
        <f t="shared" si="28"/>
        <v>11.076923076923077</v>
      </c>
      <c r="S80" s="26">
        <f t="shared" si="28"/>
        <v>9.5222222222222221</v>
      </c>
      <c r="T80" s="26">
        <f t="shared" si="28"/>
        <v>14.357142857142858</v>
      </c>
      <c r="U80" s="26">
        <f t="shared" si="28"/>
        <v>12.783333333333333</v>
      </c>
      <c r="V80" s="26">
        <f t="shared" si="28"/>
        <v>11.244047619047619</v>
      </c>
      <c r="W80" s="27">
        <v>0</v>
      </c>
      <c r="X80" s="26">
        <f>X78/X79</f>
        <v>10.321428571428571</v>
      </c>
      <c r="Y80" s="26">
        <f>Y78/Y79</f>
        <v>7.8214285714285712</v>
      </c>
      <c r="Z80" s="26">
        <f>Z78/Z79</f>
        <v>13.366666666666667</v>
      </c>
      <c r="AA80" s="26">
        <f>AA78/AA79</f>
        <v>10.5</v>
      </c>
      <c r="AB80" s="26">
        <f>AB78/AB79</f>
        <v>10.071428571428571</v>
      </c>
      <c r="AC80" s="2">
        <f>SUM(C80:AB80)</f>
        <v>260.05584172771671</v>
      </c>
      <c r="AE80" s="1" t="s">
        <v>18</v>
      </c>
      <c r="AG80" s="1">
        <f>AI78/11.5</f>
        <v>30.100334448160535</v>
      </c>
    </row>
    <row r="81" spans="1:40" ht="27.75" customHeight="1" x14ac:dyDescent="0.4">
      <c r="A81" s="25"/>
      <c r="B81" s="1" t="s">
        <v>19</v>
      </c>
      <c r="C81" s="26">
        <v>11.5</v>
      </c>
      <c r="D81" s="26">
        <v>11.5</v>
      </c>
      <c r="E81" s="26">
        <v>11.5</v>
      </c>
      <c r="F81" s="26">
        <v>11.5</v>
      </c>
      <c r="G81" s="26">
        <v>11.5</v>
      </c>
      <c r="H81" s="26">
        <v>11.5</v>
      </c>
      <c r="I81" s="26">
        <v>11.5</v>
      </c>
      <c r="J81" s="27">
        <v>0</v>
      </c>
      <c r="K81" s="26">
        <v>11.5</v>
      </c>
      <c r="L81" s="26">
        <v>11.5</v>
      </c>
      <c r="M81" s="26">
        <v>11.5</v>
      </c>
      <c r="N81" s="26">
        <v>11.5</v>
      </c>
      <c r="O81" s="26">
        <v>11.5</v>
      </c>
      <c r="P81" s="26">
        <v>11.5</v>
      </c>
      <c r="Q81" s="26">
        <v>11.5</v>
      </c>
      <c r="R81" s="26">
        <v>11.5</v>
      </c>
      <c r="S81" s="26">
        <v>11.5</v>
      </c>
      <c r="T81" s="26">
        <v>11.5</v>
      </c>
      <c r="U81" s="26">
        <v>11.5</v>
      </c>
      <c r="V81" s="26">
        <v>11.5</v>
      </c>
      <c r="W81" s="27">
        <v>0</v>
      </c>
      <c r="X81" s="26">
        <v>11.5</v>
      </c>
      <c r="Y81" s="26">
        <v>11.5</v>
      </c>
      <c r="Z81" s="26">
        <v>11.5</v>
      </c>
      <c r="AA81" s="26">
        <v>11.5</v>
      </c>
      <c r="AB81" s="26">
        <v>11.5</v>
      </c>
      <c r="AC81" s="2">
        <f>SUM(C81:AB81)</f>
        <v>276</v>
      </c>
      <c r="AE81" s="1" t="s">
        <v>20</v>
      </c>
      <c r="AG81" s="1">
        <f>AC82*AG80</f>
        <v>-479.92449649013196</v>
      </c>
    </row>
    <row r="82" spans="1:40" ht="27.75" customHeight="1" x14ac:dyDescent="0.4">
      <c r="A82" s="28"/>
      <c r="B82" s="29" t="s">
        <v>21</v>
      </c>
      <c r="C82" s="30">
        <f t="shared" ref="C82:AB82" si="29">C80-C81</f>
        <v>1.3666666666666671</v>
      </c>
      <c r="D82" s="30">
        <f t="shared" si="29"/>
        <v>-1.8333333333333321</v>
      </c>
      <c r="E82" s="30">
        <f t="shared" si="29"/>
        <v>1.2333333333333325</v>
      </c>
      <c r="F82" s="30">
        <f t="shared" si="29"/>
        <v>0.484375</v>
      </c>
      <c r="G82" s="30">
        <f t="shared" si="29"/>
        <v>0.7333333333333325</v>
      </c>
      <c r="H82" s="30">
        <f t="shared" si="29"/>
        <v>0.85714285714285765</v>
      </c>
      <c r="I82" s="30">
        <f t="shared" si="29"/>
        <v>-0.85714285714285765</v>
      </c>
      <c r="J82" s="31">
        <f t="shared" si="29"/>
        <v>0</v>
      </c>
      <c r="K82" s="30">
        <f t="shared" si="29"/>
        <v>-4.5357142857142856</v>
      </c>
      <c r="L82" s="30">
        <f t="shared" si="29"/>
        <v>-1.0357142857142865</v>
      </c>
      <c r="M82" s="30">
        <f t="shared" si="29"/>
        <v>1.4666666666666668</v>
      </c>
      <c r="N82" s="30">
        <f t="shared" si="29"/>
        <v>0.28125</v>
      </c>
      <c r="O82" s="30">
        <f t="shared" si="29"/>
        <v>-4.8571428571428568</v>
      </c>
      <c r="P82" s="30">
        <f t="shared" si="29"/>
        <v>-2.3125</v>
      </c>
      <c r="Q82" s="30">
        <f t="shared" si="29"/>
        <v>-3</v>
      </c>
      <c r="R82" s="30">
        <f t="shared" si="29"/>
        <v>-0.42307692307692335</v>
      </c>
      <c r="S82" s="30">
        <f t="shared" si="29"/>
        <v>-1.9777777777777779</v>
      </c>
      <c r="T82" s="30">
        <f t="shared" si="29"/>
        <v>2.8571428571428577</v>
      </c>
      <c r="U82" s="30">
        <f t="shared" si="29"/>
        <v>1.2833333333333332</v>
      </c>
      <c r="V82" s="30">
        <f t="shared" si="29"/>
        <v>-0.25595238095238138</v>
      </c>
      <c r="W82" s="31">
        <f t="shared" si="29"/>
        <v>0</v>
      </c>
      <c r="X82" s="30">
        <f t="shared" si="29"/>
        <v>-1.1785714285714288</v>
      </c>
      <c r="Y82" s="30">
        <f t="shared" si="29"/>
        <v>-3.6785714285714288</v>
      </c>
      <c r="Z82" s="30">
        <f t="shared" si="29"/>
        <v>1.8666666666666671</v>
      </c>
      <c r="AA82" s="30">
        <f t="shared" si="29"/>
        <v>-1</v>
      </c>
      <c r="AB82" s="30">
        <f t="shared" si="29"/>
        <v>-1.4285714285714288</v>
      </c>
      <c r="AC82" s="2">
        <f>SUM(C82:AB82)</f>
        <v>-15.944158272283273</v>
      </c>
    </row>
    <row r="83" spans="1:40" ht="27.75" customHeight="1" x14ac:dyDescent="0.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40" ht="27.75" customHeight="1" x14ac:dyDescent="0.4"/>
    <row r="85" spans="1:40" ht="30.75" customHeight="1" x14ac:dyDescent="0.4">
      <c r="B85" s="1" t="s">
        <v>41</v>
      </c>
      <c r="C85" s="3">
        <v>2.0299999999999998</v>
      </c>
      <c r="D85" s="4">
        <v>3.03</v>
      </c>
      <c r="E85" s="4">
        <v>4.03</v>
      </c>
      <c r="F85" s="4">
        <v>5.03</v>
      </c>
      <c r="G85" s="4">
        <v>6.03</v>
      </c>
      <c r="H85" s="4">
        <v>7.03</v>
      </c>
      <c r="I85" s="4">
        <v>9.0299999999999994</v>
      </c>
      <c r="J85" s="4">
        <v>10.029999999999999</v>
      </c>
      <c r="K85" s="4">
        <v>11.03</v>
      </c>
      <c r="L85" s="5">
        <v>12.03</v>
      </c>
      <c r="M85" s="4">
        <v>13.03</v>
      </c>
      <c r="N85" s="4">
        <v>14.03</v>
      </c>
      <c r="O85" s="4">
        <v>16.03</v>
      </c>
      <c r="P85" s="4">
        <v>17.03</v>
      </c>
      <c r="Q85" s="5">
        <v>18.03</v>
      </c>
      <c r="R85" s="4">
        <v>19.03</v>
      </c>
      <c r="S85" s="4">
        <v>20.03</v>
      </c>
      <c r="T85" s="4">
        <v>21.02</v>
      </c>
      <c r="U85" s="4">
        <v>23.03</v>
      </c>
      <c r="V85" s="4">
        <v>24.03</v>
      </c>
      <c r="W85" s="4">
        <v>25.03</v>
      </c>
      <c r="X85" s="6">
        <v>26.03</v>
      </c>
      <c r="Y85" s="8">
        <v>27.03</v>
      </c>
      <c r="Z85" s="8">
        <v>28.02</v>
      </c>
      <c r="AA85" s="8">
        <v>30.03</v>
      </c>
      <c r="AB85" s="8">
        <v>31.03</v>
      </c>
      <c r="AC85" s="9" t="s">
        <v>1</v>
      </c>
      <c r="AD85" s="10" t="s">
        <v>2</v>
      </c>
      <c r="AE85" s="11" t="s">
        <v>3</v>
      </c>
      <c r="AF85" s="12" t="s">
        <v>4</v>
      </c>
      <c r="AG85" s="12" t="s">
        <v>5</v>
      </c>
      <c r="AH85" s="10" t="s">
        <v>6</v>
      </c>
      <c r="AI85" s="10" t="s">
        <v>7</v>
      </c>
      <c r="AJ85" s="13" t="s">
        <v>8</v>
      </c>
      <c r="AK85" s="10" t="s">
        <v>9</v>
      </c>
      <c r="AL85" s="10" t="s">
        <v>10</v>
      </c>
      <c r="AM85" s="14" t="s">
        <v>11</v>
      </c>
      <c r="AN85" s="10" t="s">
        <v>12</v>
      </c>
    </row>
    <row r="86" spans="1:40" ht="39.75" customHeight="1" x14ac:dyDescent="0.6">
      <c r="A86" s="15">
        <v>10</v>
      </c>
      <c r="B86" s="16" t="s">
        <v>42</v>
      </c>
      <c r="C86" s="17">
        <v>193</v>
      </c>
      <c r="D86" s="17">
        <f>131.5+23/6</f>
        <v>135.33333333333334</v>
      </c>
      <c r="E86" s="18">
        <v>191</v>
      </c>
      <c r="F86" s="17">
        <v>191.75</v>
      </c>
      <c r="G86" s="17">
        <v>183.5</v>
      </c>
      <c r="H86" s="17">
        <v>173</v>
      </c>
      <c r="I86" s="17">
        <v>149</v>
      </c>
      <c r="J86" s="17">
        <v>47.5</v>
      </c>
      <c r="K86" s="17">
        <v>97.5</v>
      </c>
      <c r="L86" s="19">
        <v>0</v>
      </c>
      <c r="M86" s="17">
        <v>194.5</v>
      </c>
      <c r="N86" s="17">
        <v>188.5</v>
      </c>
      <c r="O86" s="17">
        <v>93</v>
      </c>
      <c r="P86" s="17">
        <v>73.5</v>
      </c>
      <c r="Q86" s="19">
        <v>0</v>
      </c>
      <c r="R86" s="17">
        <v>144</v>
      </c>
      <c r="S86" s="17">
        <f>141.5+8/6</f>
        <v>142.83333333333334</v>
      </c>
      <c r="T86" s="17">
        <v>201</v>
      </c>
      <c r="U86" s="17">
        <v>191.75</v>
      </c>
      <c r="V86" s="17">
        <f>156.25+7/6</f>
        <v>157.41666666666666</v>
      </c>
      <c r="W86" s="17">
        <v>166</v>
      </c>
      <c r="X86" s="17">
        <v>144.5</v>
      </c>
      <c r="Y86" s="17">
        <f>104.5+30/6</f>
        <v>109.5</v>
      </c>
      <c r="Z86" s="17">
        <v>200.5</v>
      </c>
      <c r="AA86" s="17">
        <v>147</v>
      </c>
      <c r="AB86" s="17">
        <v>141</v>
      </c>
      <c r="AC86" s="20">
        <f>SUM(C86:AB86)</f>
        <v>3656.5833333333335</v>
      </c>
      <c r="AD86" s="21">
        <v>24</v>
      </c>
      <c r="AE86" s="21">
        <f>AD86*166</f>
        <v>3984</v>
      </c>
      <c r="AF86" s="21">
        <f>AC86-AE86</f>
        <v>-327.41666666666652</v>
      </c>
      <c r="AG86" s="21">
        <v>26</v>
      </c>
      <c r="AH86" s="21">
        <f>AF86/175</f>
        <v>-1.87095238095238</v>
      </c>
      <c r="AI86" s="21">
        <f>AK86/AG86</f>
        <v>288.46153846153845</v>
      </c>
      <c r="AJ86" s="22">
        <f>AI86*AH86</f>
        <v>-539.69780219780193</v>
      </c>
      <c r="AK86" s="21">
        <v>7500</v>
      </c>
      <c r="AL86" s="23">
        <f>AK86+AJ86</f>
        <v>6960.302197802198</v>
      </c>
      <c r="AM86" s="16" t="s">
        <v>42</v>
      </c>
      <c r="AN86" s="37"/>
    </row>
    <row r="87" spans="1:40" ht="27.75" customHeight="1" x14ac:dyDescent="0.4">
      <c r="A87" s="25"/>
      <c r="B87" s="1" t="s">
        <v>16</v>
      </c>
      <c r="C87" s="26">
        <v>15</v>
      </c>
      <c r="D87" s="26">
        <v>14</v>
      </c>
      <c r="E87" s="26">
        <v>15</v>
      </c>
      <c r="F87" s="26">
        <v>16</v>
      </c>
      <c r="G87" s="26">
        <v>15</v>
      </c>
      <c r="H87" s="26">
        <v>14</v>
      </c>
      <c r="I87" s="26">
        <v>14</v>
      </c>
      <c r="J87" s="26">
        <v>9</v>
      </c>
      <c r="K87" s="26">
        <v>14</v>
      </c>
      <c r="L87" s="27">
        <v>0</v>
      </c>
      <c r="M87" s="26">
        <v>15</v>
      </c>
      <c r="N87" s="26">
        <v>16</v>
      </c>
      <c r="O87" s="26">
        <v>14</v>
      </c>
      <c r="P87" s="26">
        <v>8</v>
      </c>
      <c r="Q87" s="27">
        <v>0</v>
      </c>
      <c r="R87" s="26">
        <v>13</v>
      </c>
      <c r="S87" s="26">
        <v>15</v>
      </c>
      <c r="T87" s="26">
        <v>14</v>
      </c>
      <c r="U87" s="26">
        <v>15</v>
      </c>
      <c r="V87" s="26">
        <v>14</v>
      </c>
      <c r="W87" s="26">
        <v>13</v>
      </c>
      <c r="X87" s="26">
        <v>14</v>
      </c>
      <c r="Y87" s="26">
        <v>14</v>
      </c>
      <c r="Z87" s="26">
        <v>15</v>
      </c>
      <c r="AA87" s="26">
        <v>14</v>
      </c>
      <c r="AB87" s="26">
        <v>14</v>
      </c>
    </row>
    <row r="88" spans="1:40" ht="27.75" customHeight="1" x14ac:dyDescent="0.4">
      <c r="A88" s="25"/>
      <c r="B88" s="1" t="s">
        <v>17</v>
      </c>
      <c r="C88" s="26">
        <f t="shared" ref="C88:K88" si="30">C86/C87</f>
        <v>12.866666666666667</v>
      </c>
      <c r="D88" s="26">
        <f t="shared" si="30"/>
        <v>9.6666666666666679</v>
      </c>
      <c r="E88" s="26">
        <f t="shared" si="30"/>
        <v>12.733333333333333</v>
      </c>
      <c r="F88" s="26">
        <f t="shared" si="30"/>
        <v>11.984375</v>
      </c>
      <c r="G88" s="26">
        <f t="shared" si="30"/>
        <v>12.233333333333333</v>
      </c>
      <c r="H88" s="26">
        <f t="shared" si="30"/>
        <v>12.357142857142858</v>
      </c>
      <c r="I88" s="26">
        <f t="shared" si="30"/>
        <v>10.642857142857142</v>
      </c>
      <c r="J88" s="26">
        <f t="shared" si="30"/>
        <v>5.2777777777777777</v>
      </c>
      <c r="K88" s="26">
        <f t="shared" si="30"/>
        <v>6.9642857142857144</v>
      </c>
      <c r="L88" s="27">
        <v>0</v>
      </c>
      <c r="M88" s="26">
        <f>M86/M87</f>
        <v>12.966666666666667</v>
      </c>
      <c r="N88" s="26">
        <f>N86/N87</f>
        <v>11.78125</v>
      </c>
      <c r="O88" s="26">
        <f>O86/O87</f>
        <v>6.6428571428571432</v>
      </c>
      <c r="P88" s="26">
        <f>P86/P87</f>
        <v>9.1875</v>
      </c>
      <c r="Q88" s="27">
        <v>0</v>
      </c>
      <c r="R88" s="26">
        <f t="shared" ref="R88:AB88" si="31">R86/R87</f>
        <v>11.076923076923077</v>
      </c>
      <c r="S88" s="26">
        <f t="shared" si="31"/>
        <v>9.5222222222222221</v>
      </c>
      <c r="T88" s="26">
        <f t="shared" si="31"/>
        <v>14.357142857142858</v>
      </c>
      <c r="U88" s="26">
        <f t="shared" si="31"/>
        <v>12.783333333333333</v>
      </c>
      <c r="V88" s="26">
        <f t="shared" si="31"/>
        <v>11.244047619047619</v>
      </c>
      <c r="W88" s="26">
        <f t="shared" si="31"/>
        <v>12.76923076923077</v>
      </c>
      <c r="X88" s="26">
        <f t="shared" si="31"/>
        <v>10.321428571428571</v>
      </c>
      <c r="Y88" s="26">
        <f t="shared" si="31"/>
        <v>7.8214285714285712</v>
      </c>
      <c r="Z88" s="26">
        <f t="shared" si="31"/>
        <v>13.366666666666667</v>
      </c>
      <c r="AA88" s="26">
        <f t="shared" si="31"/>
        <v>10.5</v>
      </c>
      <c r="AB88" s="26">
        <f t="shared" si="31"/>
        <v>10.071428571428571</v>
      </c>
      <c r="AC88" s="2">
        <f>SUM(C88:AB88)</f>
        <v>259.13856456043959</v>
      </c>
      <c r="AE88" s="1" t="s">
        <v>18</v>
      </c>
      <c r="AG88" s="1">
        <f>AI86/11.5</f>
        <v>25.083612040133779</v>
      </c>
    </row>
    <row r="89" spans="1:40" ht="27.75" customHeight="1" x14ac:dyDescent="0.4">
      <c r="A89" s="25"/>
      <c r="B89" s="1" t="s">
        <v>19</v>
      </c>
      <c r="C89" s="26">
        <v>11.5</v>
      </c>
      <c r="D89" s="26">
        <v>11.5</v>
      </c>
      <c r="E89" s="26">
        <v>11.5</v>
      </c>
      <c r="F89" s="26">
        <v>11.5</v>
      </c>
      <c r="G89" s="26">
        <v>11.5</v>
      </c>
      <c r="H89" s="26">
        <v>11.5</v>
      </c>
      <c r="I89" s="26">
        <v>11.5</v>
      </c>
      <c r="J89" s="26">
        <v>11.5</v>
      </c>
      <c r="K89" s="26">
        <v>11.5</v>
      </c>
      <c r="L89" s="27">
        <v>0</v>
      </c>
      <c r="M89" s="26">
        <v>11.5</v>
      </c>
      <c r="N89" s="26">
        <v>11.5</v>
      </c>
      <c r="O89" s="26">
        <v>11.5</v>
      </c>
      <c r="P89" s="26">
        <v>11.5</v>
      </c>
      <c r="Q89" s="27">
        <v>0</v>
      </c>
      <c r="R89" s="26">
        <v>11.5</v>
      </c>
      <c r="S89" s="26">
        <v>11.5</v>
      </c>
      <c r="T89" s="26">
        <v>11.5</v>
      </c>
      <c r="U89" s="26">
        <v>11.5</v>
      </c>
      <c r="V89" s="26">
        <v>11.5</v>
      </c>
      <c r="W89" s="26">
        <v>11.5</v>
      </c>
      <c r="X89" s="26">
        <v>11.5</v>
      </c>
      <c r="Y89" s="26">
        <v>11.5</v>
      </c>
      <c r="Z89" s="26">
        <v>11.5</v>
      </c>
      <c r="AA89" s="26">
        <v>11.5</v>
      </c>
      <c r="AB89" s="26">
        <v>11.5</v>
      </c>
      <c r="AC89" s="2">
        <f>SUM(C89:AB89)</f>
        <v>276</v>
      </c>
      <c r="AE89" s="1" t="s">
        <v>20</v>
      </c>
      <c r="AG89" s="1">
        <f>AC90*AG88</f>
        <v>-422.9457050056966</v>
      </c>
    </row>
    <row r="90" spans="1:40" ht="27.75" customHeight="1" x14ac:dyDescent="0.4">
      <c r="A90" s="28"/>
      <c r="B90" s="29" t="s">
        <v>21</v>
      </c>
      <c r="C90" s="30">
        <f t="shared" ref="C90:AB90" si="32">C88-C89</f>
        <v>1.3666666666666671</v>
      </c>
      <c r="D90" s="30">
        <f t="shared" si="32"/>
        <v>-1.8333333333333321</v>
      </c>
      <c r="E90" s="30">
        <f t="shared" si="32"/>
        <v>1.2333333333333325</v>
      </c>
      <c r="F90" s="30">
        <f t="shared" si="32"/>
        <v>0.484375</v>
      </c>
      <c r="G90" s="30">
        <f t="shared" si="32"/>
        <v>0.7333333333333325</v>
      </c>
      <c r="H90" s="30">
        <f t="shared" si="32"/>
        <v>0.85714285714285765</v>
      </c>
      <c r="I90" s="30">
        <f t="shared" si="32"/>
        <v>-0.85714285714285765</v>
      </c>
      <c r="J90" s="30">
        <f t="shared" si="32"/>
        <v>-6.2222222222222223</v>
      </c>
      <c r="K90" s="30">
        <f t="shared" si="32"/>
        <v>-4.5357142857142856</v>
      </c>
      <c r="L90" s="31">
        <f t="shared" si="32"/>
        <v>0</v>
      </c>
      <c r="M90" s="30">
        <f t="shared" si="32"/>
        <v>1.4666666666666668</v>
      </c>
      <c r="N90" s="30">
        <f t="shared" si="32"/>
        <v>0.28125</v>
      </c>
      <c r="O90" s="30">
        <f t="shared" si="32"/>
        <v>-4.8571428571428568</v>
      </c>
      <c r="P90" s="30">
        <f t="shared" si="32"/>
        <v>-2.3125</v>
      </c>
      <c r="Q90" s="31">
        <f t="shared" si="32"/>
        <v>0</v>
      </c>
      <c r="R90" s="30">
        <f t="shared" si="32"/>
        <v>-0.42307692307692335</v>
      </c>
      <c r="S90" s="30">
        <f t="shared" si="32"/>
        <v>-1.9777777777777779</v>
      </c>
      <c r="T90" s="30">
        <f t="shared" si="32"/>
        <v>2.8571428571428577</v>
      </c>
      <c r="U90" s="30">
        <f t="shared" si="32"/>
        <v>1.2833333333333332</v>
      </c>
      <c r="V90" s="30">
        <f t="shared" si="32"/>
        <v>-0.25595238095238138</v>
      </c>
      <c r="W90" s="30">
        <f t="shared" si="32"/>
        <v>1.2692307692307701</v>
      </c>
      <c r="X90" s="30">
        <f t="shared" si="32"/>
        <v>-1.1785714285714288</v>
      </c>
      <c r="Y90" s="30">
        <f t="shared" si="32"/>
        <v>-3.6785714285714288</v>
      </c>
      <c r="Z90" s="30">
        <f t="shared" si="32"/>
        <v>1.8666666666666671</v>
      </c>
      <c r="AA90" s="30">
        <f t="shared" si="32"/>
        <v>-1</v>
      </c>
      <c r="AB90" s="30">
        <f t="shared" si="32"/>
        <v>-1.4285714285714288</v>
      </c>
      <c r="AC90" s="2">
        <f>SUM(C90:AB90)</f>
        <v>-16.861435439560438</v>
      </c>
    </row>
    <row r="91" spans="1:40" ht="27.75" customHeight="1" x14ac:dyDescent="0.4"/>
    <row r="92" spans="1:40" ht="27.75" customHeight="1" x14ac:dyDescent="0.4"/>
    <row r="93" spans="1:40" ht="30.75" customHeight="1" x14ac:dyDescent="0.4">
      <c r="B93" s="1" t="s">
        <v>44</v>
      </c>
      <c r="C93" s="3">
        <v>2.0299999999999998</v>
      </c>
      <c r="D93" s="4">
        <v>3.03</v>
      </c>
      <c r="E93" s="5">
        <v>4.03</v>
      </c>
      <c r="F93" s="4">
        <v>5.03</v>
      </c>
      <c r="G93" s="4">
        <v>6.03</v>
      </c>
      <c r="H93" s="5">
        <v>7.03</v>
      </c>
      <c r="I93" s="4">
        <v>9.0299999999999994</v>
      </c>
      <c r="J93" s="4">
        <v>10.029999999999999</v>
      </c>
      <c r="K93" s="5">
        <v>11.03</v>
      </c>
      <c r="L93" s="4">
        <v>12.03</v>
      </c>
      <c r="M93" s="4">
        <v>13.03</v>
      </c>
      <c r="N93" s="4">
        <v>14.03</v>
      </c>
      <c r="O93" s="5">
        <v>16.03</v>
      </c>
      <c r="P93" s="5">
        <v>17.03</v>
      </c>
      <c r="Q93" s="5">
        <v>18.03</v>
      </c>
      <c r="R93" s="4">
        <v>19.03</v>
      </c>
      <c r="S93" s="4">
        <v>20.03</v>
      </c>
      <c r="T93" s="4">
        <v>21.02</v>
      </c>
      <c r="U93" s="4">
        <v>23.03</v>
      </c>
      <c r="V93" s="5">
        <v>24.03</v>
      </c>
      <c r="W93" s="4">
        <v>25.03</v>
      </c>
      <c r="X93" s="6">
        <v>26.03</v>
      </c>
      <c r="Y93" s="8">
        <v>27.03</v>
      </c>
      <c r="Z93" s="8">
        <v>28.02</v>
      </c>
      <c r="AA93" s="8">
        <v>30.03</v>
      </c>
      <c r="AB93" s="8">
        <v>31.03</v>
      </c>
      <c r="AC93" s="9" t="s">
        <v>1</v>
      </c>
      <c r="AD93" s="10" t="s">
        <v>2</v>
      </c>
      <c r="AE93" s="11" t="s">
        <v>3</v>
      </c>
      <c r="AF93" s="12" t="s">
        <v>4</v>
      </c>
      <c r="AG93" s="12" t="s">
        <v>5</v>
      </c>
      <c r="AH93" s="10" t="s">
        <v>6</v>
      </c>
      <c r="AI93" s="10" t="s">
        <v>7</v>
      </c>
      <c r="AJ93" s="13" t="s">
        <v>8</v>
      </c>
      <c r="AK93" s="10" t="s">
        <v>9</v>
      </c>
      <c r="AL93" s="10" t="s">
        <v>10</v>
      </c>
      <c r="AM93" s="14" t="s">
        <v>11</v>
      </c>
      <c r="AN93" s="10"/>
    </row>
    <row r="94" spans="1:40" ht="39.75" customHeight="1" x14ac:dyDescent="0.6">
      <c r="A94" s="15">
        <v>11</v>
      </c>
      <c r="B94" s="16" t="s">
        <v>45</v>
      </c>
      <c r="C94" s="17">
        <v>193</v>
      </c>
      <c r="D94" s="17">
        <f>131.5+23/6</f>
        <v>135.33333333333334</v>
      </c>
      <c r="E94" s="19">
        <v>0</v>
      </c>
      <c r="F94" s="17">
        <v>191.75</v>
      </c>
      <c r="G94" s="17">
        <v>183.5</v>
      </c>
      <c r="H94" s="19">
        <v>0</v>
      </c>
      <c r="I94" s="17">
        <v>149</v>
      </c>
      <c r="J94" s="17">
        <v>47.5</v>
      </c>
      <c r="K94" s="19">
        <v>0</v>
      </c>
      <c r="L94" s="17">
        <v>146.5</v>
      </c>
      <c r="M94" s="17">
        <v>194.5</v>
      </c>
      <c r="N94" s="17">
        <v>188.5</v>
      </c>
      <c r="O94" s="19">
        <v>0</v>
      </c>
      <c r="P94" s="19">
        <v>0</v>
      </c>
      <c r="Q94" s="19">
        <v>0</v>
      </c>
      <c r="R94" s="17">
        <v>144</v>
      </c>
      <c r="S94" s="17">
        <f>141.5+8/6</f>
        <v>142.83333333333334</v>
      </c>
      <c r="T94" s="17">
        <v>201</v>
      </c>
      <c r="U94" s="17">
        <v>191.75</v>
      </c>
      <c r="V94" s="19">
        <v>0</v>
      </c>
      <c r="W94" s="17">
        <v>166</v>
      </c>
      <c r="X94" s="17">
        <v>144.5</v>
      </c>
      <c r="Y94" s="17">
        <f>104.5+30/6</f>
        <v>109.5</v>
      </c>
      <c r="Z94" s="17">
        <v>200.5</v>
      </c>
      <c r="AA94" s="17">
        <v>147</v>
      </c>
      <c r="AB94" s="17">
        <v>141</v>
      </c>
      <c r="AC94" s="20">
        <f>SUM(C94:AB94)</f>
        <v>3017.666666666667</v>
      </c>
      <c r="AD94" s="21">
        <v>19</v>
      </c>
      <c r="AE94" s="21">
        <f>AD94*166</f>
        <v>3154</v>
      </c>
      <c r="AF94" s="21">
        <f>AC94-AE94</f>
        <v>-136.33333333333303</v>
      </c>
      <c r="AG94" s="21">
        <v>26</v>
      </c>
      <c r="AH94" s="21">
        <f>AF94/175</f>
        <v>-0.77904761904761732</v>
      </c>
      <c r="AI94" s="21">
        <f>AK94/AG94</f>
        <v>300</v>
      </c>
      <c r="AJ94" s="22">
        <f>AI94*AH94</f>
        <v>-233.71428571428521</v>
      </c>
      <c r="AK94" s="21">
        <v>7800</v>
      </c>
      <c r="AL94" s="23">
        <f>AK94+AJ94</f>
        <v>7566.2857142857147</v>
      </c>
      <c r="AM94" s="16" t="s">
        <v>45</v>
      </c>
      <c r="AN94" s="37"/>
    </row>
    <row r="95" spans="1:40" ht="27.75" customHeight="1" x14ac:dyDescent="0.4">
      <c r="A95" s="25"/>
      <c r="B95" s="1" t="s">
        <v>16</v>
      </c>
      <c r="C95" s="26">
        <v>15</v>
      </c>
      <c r="D95" s="26">
        <v>14</v>
      </c>
      <c r="E95" s="27">
        <v>0</v>
      </c>
      <c r="F95" s="26">
        <v>16</v>
      </c>
      <c r="G95" s="26">
        <v>15</v>
      </c>
      <c r="H95" s="27">
        <v>0</v>
      </c>
      <c r="I95" s="26">
        <v>14</v>
      </c>
      <c r="J95" s="26">
        <v>9</v>
      </c>
      <c r="K95" s="27">
        <v>0</v>
      </c>
      <c r="L95" s="26">
        <v>14</v>
      </c>
      <c r="M95" s="26">
        <v>15</v>
      </c>
      <c r="N95" s="26">
        <v>16</v>
      </c>
      <c r="O95" s="27">
        <v>0</v>
      </c>
      <c r="P95" s="27">
        <v>0</v>
      </c>
      <c r="Q95" s="27">
        <v>0</v>
      </c>
      <c r="R95" s="26">
        <v>13</v>
      </c>
      <c r="S95" s="26">
        <v>15</v>
      </c>
      <c r="T95" s="26">
        <v>14</v>
      </c>
      <c r="U95" s="26">
        <v>15</v>
      </c>
      <c r="V95" s="27">
        <v>0</v>
      </c>
      <c r="W95" s="26">
        <v>13</v>
      </c>
      <c r="X95" s="26">
        <v>14</v>
      </c>
      <c r="Y95" s="26">
        <v>14</v>
      </c>
      <c r="Z95" s="26">
        <v>15</v>
      </c>
      <c r="AA95" s="26">
        <v>14</v>
      </c>
      <c r="AB95" s="26">
        <v>14</v>
      </c>
    </row>
    <row r="96" spans="1:40" ht="27.75" customHeight="1" x14ac:dyDescent="0.4">
      <c r="A96" s="25"/>
      <c r="B96" s="1" t="s">
        <v>17</v>
      </c>
      <c r="C96" s="26">
        <f>C94/C95</f>
        <v>12.866666666666667</v>
      </c>
      <c r="D96" s="26">
        <f>D94/D95</f>
        <v>9.6666666666666679</v>
      </c>
      <c r="E96" s="27">
        <v>0</v>
      </c>
      <c r="F96" s="26">
        <f>F94/F95</f>
        <v>11.984375</v>
      </c>
      <c r="G96" s="26">
        <f>G94/G95</f>
        <v>12.233333333333333</v>
      </c>
      <c r="H96" s="27">
        <v>0</v>
      </c>
      <c r="I96" s="26">
        <f>I94/I95</f>
        <v>10.642857142857142</v>
      </c>
      <c r="J96" s="26">
        <f>J94/J95</f>
        <v>5.2777777777777777</v>
      </c>
      <c r="K96" s="27">
        <v>0</v>
      </c>
      <c r="L96" s="26">
        <f>L94/L95</f>
        <v>10.464285714285714</v>
      </c>
      <c r="M96" s="26">
        <f>M94/M95</f>
        <v>12.966666666666667</v>
      </c>
      <c r="N96" s="26">
        <f>N94/N95</f>
        <v>11.78125</v>
      </c>
      <c r="O96" s="27">
        <v>0</v>
      </c>
      <c r="P96" s="27">
        <v>0</v>
      </c>
      <c r="Q96" s="27">
        <v>0</v>
      </c>
      <c r="R96" s="26">
        <f>R94/R95</f>
        <v>11.076923076923077</v>
      </c>
      <c r="S96" s="26">
        <f>S94/S95</f>
        <v>9.5222222222222221</v>
      </c>
      <c r="T96" s="26">
        <f>T94/T95</f>
        <v>14.357142857142858</v>
      </c>
      <c r="U96" s="26">
        <f>U94/U95</f>
        <v>12.783333333333333</v>
      </c>
      <c r="V96" s="27">
        <v>0</v>
      </c>
      <c r="W96" s="26">
        <f t="shared" ref="W96:AB96" si="33">W94/W95</f>
        <v>12.76923076923077</v>
      </c>
      <c r="X96" s="26">
        <f t="shared" si="33"/>
        <v>10.321428571428571</v>
      </c>
      <c r="Y96" s="26">
        <f t="shared" si="33"/>
        <v>7.8214285714285712</v>
      </c>
      <c r="Z96" s="26">
        <f t="shared" si="33"/>
        <v>13.366666666666667</v>
      </c>
      <c r="AA96" s="26">
        <f t="shared" si="33"/>
        <v>10.5</v>
      </c>
      <c r="AB96" s="26">
        <f t="shared" si="33"/>
        <v>10.071428571428571</v>
      </c>
      <c r="AC96" s="2">
        <f>SUM(C96:AB96)</f>
        <v>210.47368360805865</v>
      </c>
      <c r="AE96" s="1" t="s">
        <v>18</v>
      </c>
      <c r="AG96" s="1">
        <f>AI94/11.5</f>
        <v>26.086956521739129</v>
      </c>
    </row>
    <row r="97" spans="1:40" ht="27.75" customHeight="1" x14ac:dyDescent="0.4">
      <c r="A97" s="25"/>
      <c r="B97" s="1" t="s">
        <v>19</v>
      </c>
      <c r="C97" s="26">
        <v>11.5</v>
      </c>
      <c r="D97" s="26">
        <v>11.5</v>
      </c>
      <c r="E97" s="27">
        <v>0</v>
      </c>
      <c r="F97" s="26">
        <v>11.5</v>
      </c>
      <c r="G97" s="26">
        <v>11.5</v>
      </c>
      <c r="H97" s="27">
        <v>0</v>
      </c>
      <c r="I97" s="26">
        <v>11.5</v>
      </c>
      <c r="J97" s="26">
        <v>11.5</v>
      </c>
      <c r="K97" s="27">
        <v>0</v>
      </c>
      <c r="L97" s="26">
        <v>11.5</v>
      </c>
      <c r="M97" s="26">
        <v>11.5</v>
      </c>
      <c r="N97" s="26">
        <v>11.5</v>
      </c>
      <c r="O97" s="27">
        <v>0</v>
      </c>
      <c r="P97" s="27">
        <v>0</v>
      </c>
      <c r="Q97" s="27">
        <v>0</v>
      </c>
      <c r="R97" s="26">
        <v>11.5</v>
      </c>
      <c r="S97" s="26">
        <v>11.5</v>
      </c>
      <c r="T97" s="26">
        <v>11.5</v>
      </c>
      <c r="U97" s="26">
        <v>11.5</v>
      </c>
      <c r="V97" s="27">
        <v>0</v>
      </c>
      <c r="W97" s="26">
        <v>11.5</v>
      </c>
      <c r="X97" s="26">
        <v>11.5</v>
      </c>
      <c r="Y97" s="26">
        <v>11.5</v>
      </c>
      <c r="Z97" s="26">
        <v>11.5</v>
      </c>
      <c r="AA97" s="26">
        <v>11.5</v>
      </c>
      <c r="AB97" s="26">
        <v>11.5</v>
      </c>
      <c r="AC97" s="2">
        <f>SUM(C97:AB97)</f>
        <v>218.5</v>
      </c>
      <c r="AE97" s="1" t="s">
        <v>20</v>
      </c>
      <c r="AG97" s="1">
        <f>AC98*AG96</f>
        <v>-209.3821667462972</v>
      </c>
    </row>
    <row r="98" spans="1:40" ht="27.75" customHeight="1" x14ac:dyDescent="0.4">
      <c r="A98" s="28"/>
      <c r="B98" s="29" t="s">
        <v>21</v>
      </c>
      <c r="C98" s="30">
        <f t="shared" ref="C98:AB98" si="34">C96-C97</f>
        <v>1.3666666666666671</v>
      </c>
      <c r="D98" s="30">
        <f t="shared" si="34"/>
        <v>-1.8333333333333321</v>
      </c>
      <c r="E98" s="31">
        <f t="shared" si="34"/>
        <v>0</v>
      </c>
      <c r="F98" s="30">
        <f t="shared" si="34"/>
        <v>0.484375</v>
      </c>
      <c r="G98" s="30">
        <f t="shared" si="34"/>
        <v>0.7333333333333325</v>
      </c>
      <c r="H98" s="31">
        <f t="shared" si="34"/>
        <v>0</v>
      </c>
      <c r="I98" s="30">
        <f t="shared" si="34"/>
        <v>-0.85714285714285765</v>
      </c>
      <c r="J98" s="30">
        <f t="shared" si="34"/>
        <v>-6.2222222222222223</v>
      </c>
      <c r="K98" s="31">
        <f t="shared" si="34"/>
        <v>0</v>
      </c>
      <c r="L98" s="30">
        <f t="shared" si="34"/>
        <v>-1.0357142857142865</v>
      </c>
      <c r="M98" s="30">
        <f t="shared" si="34"/>
        <v>1.4666666666666668</v>
      </c>
      <c r="N98" s="30">
        <f t="shared" si="34"/>
        <v>0.28125</v>
      </c>
      <c r="O98" s="31">
        <f t="shared" si="34"/>
        <v>0</v>
      </c>
      <c r="P98" s="31">
        <f t="shared" si="34"/>
        <v>0</v>
      </c>
      <c r="Q98" s="31">
        <f t="shared" si="34"/>
        <v>0</v>
      </c>
      <c r="R98" s="30">
        <f t="shared" si="34"/>
        <v>-0.42307692307692335</v>
      </c>
      <c r="S98" s="30">
        <f t="shared" si="34"/>
        <v>-1.9777777777777779</v>
      </c>
      <c r="T98" s="30">
        <f t="shared" si="34"/>
        <v>2.8571428571428577</v>
      </c>
      <c r="U98" s="30">
        <f t="shared" si="34"/>
        <v>1.2833333333333332</v>
      </c>
      <c r="V98" s="31">
        <f t="shared" si="34"/>
        <v>0</v>
      </c>
      <c r="W98" s="30">
        <f t="shared" si="34"/>
        <v>1.2692307692307701</v>
      </c>
      <c r="X98" s="30">
        <f t="shared" si="34"/>
        <v>-1.1785714285714288</v>
      </c>
      <c r="Y98" s="30">
        <f t="shared" si="34"/>
        <v>-3.6785714285714288</v>
      </c>
      <c r="Z98" s="30">
        <f t="shared" si="34"/>
        <v>1.8666666666666671</v>
      </c>
      <c r="AA98" s="30">
        <f t="shared" si="34"/>
        <v>-1</v>
      </c>
      <c r="AB98" s="30">
        <f t="shared" si="34"/>
        <v>-1.4285714285714288</v>
      </c>
      <c r="AC98" s="2">
        <f>SUM(C98:AB98)</f>
        <v>-8.0263163919413927</v>
      </c>
    </row>
    <row r="99" spans="1:40" ht="27.75" customHeight="1" x14ac:dyDescent="0.4"/>
    <row r="100" spans="1:40" ht="27.75" customHeight="1" x14ac:dyDescent="0.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40" ht="27.75" customHeight="1" x14ac:dyDescent="0.4">
      <c r="B101" s="1" t="s">
        <v>46</v>
      </c>
      <c r="C101" s="3">
        <v>2.0299999999999998</v>
      </c>
      <c r="D101" s="4">
        <v>3.03</v>
      </c>
      <c r="E101" s="4">
        <v>4.03</v>
      </c>
      <c r="F101" s="4">
        <v>5.03</v>
      </c>
      <c r="G101" s="4">
        <v>6.03</v>
      </c>
      <c r="H101" s="5">
        <v>7.03</v>
      </c>
      <c r="I101" s="4">
        <v>9.0299999999999994</v>
      </c>
      <c r="J101" s="5">
        <v>10.029999999999999</v>
      </c>
      <c r="K101" s="5">
        <v>11.03</v>
      </c>
      <c r="L101" s="4">
        <v>12.03</v>
      </c>
      <c r="M101" s="4">
        <v>13.03</v>
      </c>
      <c r="N101" s="4">
        <v>14.03</v>
      </c>
      <c r="O101" s="4">
        <v>16.03</v>
      </c>
      <c r="P101" s="4">
        <v>17.03</v>
      </c>
      <c r="Q101" s="5">
        <v>18.03</v>
      </c>
      <c r="R101" s="5">
        <v>19.03</v>
      </c>
      <c r="S101" s="4">
        <v>20.03</v>
      </c>
      <c r="T101" s="4">
        <v>21.02</v>
      </c>
      <c r="U101" s="4">
        <v>23.03</v>
      </c>
      <c r="V101" s="4">
        <v>24.03</v>
      </c>
      <c r="W101" s="4">
        <v>25.03</v>
      </c>
      <c r="X101" s="6">
        <v>26.03</v>
      </c>
      <c r="Y101" s="8">
        <v>27.03</v>
      </c>
      <c r="Z101" s="8">
        <v>28.02</v>
      </c>
      <c r="AA101" s="8">
        <v>30.03</v>
      </c>
      <c r="AB101" s="8">
        <v>31.03</v>
      </c>
      <c r="AC101" s="9" t="s">
        <v>1</v>
      </c>
      <c r="AD101" s="10" t="s">
        <v>2</v>
      </c>
      <c r="AE101" s="11" t="s">
        <v>3</v>
      </c>
      <c r="AF101" s="12" t="s">
        <v>4</v>
      </c>
      <c r="AG101" s="12" t="s">
        <v>5</v>
      </c>
      <c r="AH101" s="10" t="s">
        <v>6</v>
      </c>
      <c r="AI101" s="10" t="s">
        <v>7</v>
      </c>
      <c r="AJ101" s="13" t="s">
        <v>8</v>
      </c>
      <c r="AK101" s="10" t="s">
        <v>9</v>
      </c>
      <c r="AL101" s="10" t="s">
        <v>10</v>
      </c>
      <c r="AM101" s="14" t="s">
        <v>11</v>
      </c>
      <c r="AN101" s="10" t="s">
        <v>12</v>
      </c>
    </row>
    <row r="102" spans="1:40" ht="46.5" customHeight="1" x14ac:dyDescent="0.6">
      <c r="A102" s="15">
        <v>12</v>
      </c>
      <c r="B102" s="16" t="s">
        <v>47</v>
      </c>
      <c r="C102" s="17">
        <v>193</v>
      </c>
      <c r="D102" s="17">
        <f>131.5+23/6</f>
        <v>135.33333333333334</v>
      </c>
      <c r="E102" s="18">
        <v>191</v>
      </c>
      <c r="F102" s="17">
        <v>191.75</v>
      </c>
      <c r="G102" s="17">
        <v>183.5</v>
      </c>
      <c r="H102" s="19">
        <v>0</v>
      </c>
      <c r="I102" s="17">
        <v>149</v>
      </c>
      <c r="J102" s="19">
        <v>0</v>
      </c>
      <c r="K102" s="19">
        <v>0</v>
      </c>
      <c r="L102" s="17">
        <v>146.5</v>
      </c>
      <c r="M102" s="17">
        <v>194.5</v>
      </c>
      <c r="N102" s="17">
        <v>188.5</v>
      </c>
      <c r="O102" s="17">
        <v>93</v>
      </c>
      <c r="P102" s="17">
        <v>73.5</v>
      </c>
      <c r="Q102" s="19">
        <v>0</v>
      </c>
      <c r="R102" s="19">
        <v>0</v>
      </c>
      <c r="S102" s="17">
        <f>141.5+8/6</f>
        <v>142.83333333333334</v>
      </c>
      <c r="T102" s="17">
        <v>201</v>
      </c>
      <c r="U102" s="17">
        <v>191.75</v>
      </c>
      <c r="V102" s="17">
        <f>156.25+7/6</f>
        <v>157.41666666666666</v>
      </c>
      <c r="W102" s="17">
        <v>166</v>
      </c>
      <c r="X102" s="17">
        <v>144.5</v>
      </c>
      <c r="Y102" s="17">
        <f>104.5+30/6</f>
        <v>109.5</v>
      </c>
      <c r="Z102" s="17">
        <v>200.5</v>
      </c>
      <c r="AA102" s="17">
        <v>147</v>
      </c>
      <c r="AB102" s="17">
        <v>141</v>
      </c>
      <c r="AC102" s="20">
        <f>SUM(C102:AB102)</f>
        <v>3341.0833333333335</v>
      </c>
      <c r="AD102" s="21">
        <v>21</v>
      </c>
      <c r="AE102" s="21">
        <f>AD102*166</f>
        <v>3486</v>
      </c>
      <c r="AF102" s="21">
        <f>AC102-AE102</f>
        <v>-144.91666666666652</v>
      </c>
      <c r="AG102" s="21">
        <v>26</v>
      </c>
      <c r="AH102" s="21">
        <f>AF102/175</f>
        <v>-0.82809523809523722</v>
      </c>
      <c r="AI102" s="21">
        <f>AK102/AG102</f>
        <v>269.23076923076923</v>
      </c>
      <c r="AJ102" s="22">
        <f>AI102*AH102</f>
        <v>-222.9487179487177</v>
      </c>
      <c r="AK102" s="21">
        <v>7000</v>
      </c>
      <c r="AL102" s="23">
        <f>AK102+AJ102</f>
        <v>6777.0512820512822</v>
      </c>
      <c r="AM102" s="16" t="s">
        <v>47</v>
      </c>
      <c r="AN102" s="37"/>
    </row>
    <row r="103" spans="1:40" ht="27.75" customHeight="1" x14ac:dyDescent="0.4">
      <c r="A103" s="25"/>
      <c r="B103" s="1" t="s">
        <v>16</v>
      </c>
      <c r="C103" s="26">
        <v>15</v>
      </c>
      <c r="D103" s="26">
        <v>14</v>
      </c>
      <c r="E103" s="26">
        <v>15</v>
      </c>
      <c r="F103" s="26">
        <v>16</v>
      </c>
      <c r="G103" s="26">
        <v>15</v>
      </c>
      <c r="H103" s="27">
        <v>0</v>
      </c>
      <c r="I103" s="26">
        <v>14</v>
      </c>
      <c r="J103" s="27">
        <v>0</v>
      </c>
      <c r="K103" s="27">
        <v>0</v>
      </c>
      <c r="L103" s="26">
        <v>14</v>
      </c>
      <c r="M103" s="26">
        <v>15</v>
      </c>
      <c r="N103" s="26">
        <v>16</v>
      </c>
      <c r="O103" s="26">
        <v>14</v>
      </c>
      <c r="P103" s="26">
        <v>8</v>
      </c>
      <c r="Q103" s="27">
        <v>0</v>
      </c>
      <c r="R103" s="27">
        <v>0</v>
      </c>
      <c r="S103" s="26">
        <v>15</v>
      </c>
      <c r="T103" s="26">
        <v>14</v>
      </c>
      <c r="U103" s="26">
        <v>15</v>
      </c>
      <c r="V103" s="26">
        <v>14</v>
      </c>
      <c r="W103" s="26">
        <v>13</v>
      </c>
      <c r="X103" s="26">
        <v>14</v>
      </c>
      <c r="Y103" s="26">
        <v>14</v>
      </c>
      <c r="Z103" s="26">
        <v>15</v>
      </c>
      <c r="AA103" s="26">
        <v>14</v>
      </c>
      <c r="AB103" s="26">
        <v>14</v>
      </c>
    </row>
    <row r="104" spans="1:40" ht="27.75" customHeight="1" x14ac:dyDescent="0.4">
      <c r="A104" s="25"/>
      <c r="B104" s="1" t="s">
        <v>17</v>
      </c>
      <c r="C104" s="26">
        <f>C102/C103</f>
        <v>12.866666666666667</v>
      </c>
      <c r="D104" s="26">
        <f>D102/D103</f>
        <v>9.6666666666666679</v>
      </c>
      <c r="E104" s="26">
        <f>E102/E103</f>
        <v>12.733333333333333</v>
      </c>
      <c r="F104" s="26">
        <f>F102/F103</f>
        <v>11.984375</v>
      </c>
      <c r="G104" s="26">
        <f>G102/G103</f>
        <v>12.233333333333333</v>
      </c>
      <c r="H104" s="27">
        <v>0</v>
      </c>
      <c r="I104" s="26">
        <f>I102/I103</f>
        <v>10.642857142857142</v>
      </c>
      <c r="J104" s="27">
        <v>0</v>
      </c>
      <c r="K104" s="27">
        <v>0</v>
      </c>
      <c r="L104" s="26">
        <f>L102/L103</f>
        <v>10.464285714285714</v>
      </c>
      <c r="M104" s="26">
        <f>M102/M103</f>
        <v>12.966666666666667</v>
      </c>
      <c r="N104" s="26">
        <f>N102/N103</f>
        <v>11.78125</v>
      </c>
      <c r="O104" s="26">
        <f>O102/O103</f>
        <v>6.6428571428571432</v>
      </c>
      <c r="P104" s="26">
        <f>P102/P103</f>
        <v>9.1875</v>
      </c>
      <c r="Q104" s="27">
        <v>0</v>
      </c>
      <c r="R104" s="27">
        <v>0</v>
      </c>
      <c r="S104" s="26">
        <f t="shared" ref="S104:AB104" si="35">S102/S103</f>
        <v>9.5222222222222221</v>
      </c>
      <c r="T104" s="26">
        <f t="shared" si="35"/>
        <v>14.357142857142858</v>
      </c>
      <c r="U104" s="26">
        <f t="shared" si="35"/>
        <v>12.783333333333333</v>
      </c>
      <c r="V104" s="26">
        <f t="shared" si="35"/>
        <v>11.244047619047619</v>
      </c>
      <c r="W104" s="26">
        <f t="shared" si="35"/>
        <v>12.76923076923077</v>
      </c>
      <c r="X104" s="26">
        <f t="shared" si="35"/>
        <v>10.321428571428571</v>
      </c>
      <c r="Y104" s="26">
        <f t="shared" si="35"/>
        <v>7.8214285714285712</v>
      </c>
      <c r="Z104" s="26">
        <f t="shared" si="35"/>
        <v>13.366666666666667</v>
      </c>
      <c r="AA104" s="26">
        <f t="shared" si="35"/>
        <v>10.5</v>
      </c>
      <c r="AB104" s="26">
        <f t="shared" si="35"/>
        <v>10.071428571428571</v>
      </c>
      <c r="AC104" s="2">
        <f>SUM(C104:AB104)</f>
        <v>233.92672084859589</v>
      </c>
      <c r="AE104" s="1" t="s">
        <v>18</v>
      </c>
      <c r="AG104" s="1">
        <f>AI102/11.5</f>
        <v>23.411371237458194</v>
      </c>
    </row>
    <row r="105" spans="1:40" ht="27.75" customHeight="1" x14ac:dyDescent="0.4">
      <c r="A105" s="25"/>
      <c r="B105" s="1" t="s">
        <v>19</v>
      </c>
      <c r="C105" s="26">
        <v>11.5</v>
      </c>
      <c r="D105" s="26">
        <v>11.5</v>
      </c>
      <c r="E105" s="26">
        <v>11.5</v>
      </c>
      <c r="F105" s="26">
        <v>11.5</v>
      </c>
      <c r="G105" s="26">
        <v>11.5</v>
      </c>
      <c r="H105" s="27">
        <v>0</v>
      </c>
      <c r="I105" s="26">
        <v>11.5</v>
      </c>
      <c r="J105" s="27">
        <v>0</v>
      </c>
      <c r="K105" s="27">
        <v>0</v>
      </c>
      <c r="L105" s="26">
        <v>11.5</v>
      </c>
      <c r="M105" s="26">
        <v>11.5</v>
      </c>
      <c r="N105" s="26">
        <v>11.5</v>
      </c>
      <c r="O105" s="26">
        <v>11.5</v>
      </c>
      <c r="P105" s="26">
        <v>11.5</v>
      </c>
      <c r="Q105" s="27">
        <v>0</v>
      </c>
      <c r="R105" s="27">
        <v>0</v>
      </c>
      <c r="S105" s="26">
        <v>11.5</v>
      </c>
      <c r="T105" s="26">
        <v>11.5</v>
      </c>
      <c r="U105" s="26">
        <v>11.5</v>
      </c>
      <c r="V105" s="26">
        <v>11.5</v>
      </c>
      <c r="W105" s="26">
        <v>11.5</v>
      </c>
      <c r="X105" s="26">
        <v>11.5</v>
      </c>
      <c r="Y105" s="26">
        <v>11.5</v>
      </c>
      <c r="Z105" s="26">
        <v>11.5</v>
      </c>
      <c r="AA105" s="26">
        <v>11.5</v>
      </c>
      <c r="AB105" s="26">
        <v>11.5</v>
      </c>
      <c r="AC105" s="2">
        <f>SUM(C105:AB105)</f>
        <v>241.5</v>
      </c>
      <c r="AE105" s="1" t="s">
        <v>20</v>
      </c>
      <c r="AG105" s="1">
        <f>AC106*AG104</f>
        <v>-177.30084969842497</v>
      </c>
    </row>
    <row r="106" spans="1:40" ht="27.75" customHeight="1" x14ac:dyDescent="0.4">
      <c r="A106" s="28"/>
      <c r="B106" s="29" t="s">
        <v>21</v>
      </c>
      <c r="C106" s="30">
        <f t="shared" ref="C106:AB106" si="36">C104-C105</f>
        <v>1.3666666666666671</v>
      </c>
      <c r="D106" s="30">
        <f t="shared" si="36"/>
        <v>-1.8333333333333321</v>
      </c>
      <c r="E106" s="30">
        <f t="shared" si="36"/>
        <v>1.2333333333333325</v>
      </c>
      <c r="F106" s="30">
        <f t="shared" si="36"/>
        <v>0.484375</v>
      </c>
      <c r="G106" s="30">
        <f t="shared" si="36"/>
        <v>0.7333333333333325</v>
      </c>
      <c r="H106" s="31">
        <f t="shared" si="36"/>
        <v>0</v>
      </c>
      <c r="I106" s="30">
        <f t="shared" si="36"/>
        <v>-0.85714285714285765</v>
      </c>
      <c r="J106" s="31">
        <f t="shared" si="36"/>
        <v>0</v>
      </c>
      <c r="K106" s="31">
        <f t="shared" si="36"/>
        <v>0</v>
      </c>
      <c r="L106" s="30">
        <f t="shared" si="36"/>
        <v>-1.0357142857142865</v>
      </c>
      <c r="M106" s="30">
        <f t="shared" si="36"/>
        <v>1.4666666666666668</v>
      </c>
      <c r="N106" s="30">
        <f t="shared" si="36"/>
        <v>0.28125</v>
      </c>
      <c r="O106" s="30">
        <f t="shared" si="36"/>
        <v>-4.8571428571428568</v>
      </c>
      <c r="P106" s="30">
        <f t="shared" si="36"/>
        <v>-2.3125</v>
      </c>
      <c r="Q106" s="31">
        <f t="shared" si="36"/>
        <v>0</v>
      </c>
      <c r="R106" s="31">
        <f t="shared" si="36"/>
        <v>0</v>
      </c>
      <c r="S106" s="30">
        <f t="shared" si="36"/>
        <v>-1.9777777777777779</v>
      </c>
      <c r="T106" s="30">
        <f t="shared" si="36"/>
        <v>2.8571428571428577</v>
      </c>
      <c r="U106" s="30">
        <f t="shared" si="36"/>
        <v>1.2833333333333332</v>
      </c>
      <c r="V106" s="30">
        <f t="shared" si="36"/>
        <v>-0.25595238095238138</v>
      </c>
      <c r="W106" s="30">
        <f t="shared" si="36"/>
        <v>1.2692307692307701</v>
      </c>
      <c r="X106" s="30">
        <f t="shared" si="36"/>
        <v>-1.1785714285714288</v>
      </c>
      <c r="Y106" s="30">
        <f t="shared" si="36"/>
        <v>-3.6785714285714288</v>
      </c>
      <c r="Z106" s="30">
        <f t="shared" si="36"/>
        <v>1.8666666666666671</v>
      </c>
      <c r="AA106" s="30">
        <f t="shared" si="36"/>
        <v>-1</v>
      </c>
      <c r="AB106" s="30">
        <f t="shared" si="36"/>
        <v>-1.4285714285714288</v>
      </c>
      <c r="AC106" s="2">
        <f>SUM(C106:AB106)</f>
        <v>-7.5732791514041518</v>
      </c>
    </row>
    <row r="107" spans="1:40" ht="27.75" customHeight="1" x14ac:dyDescent="0.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40" ht="27.75" customHeight="1" x14ac:dyDescent="0.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40" ht="27.75" customHeight="1" x14ac:dyDescent="0.4">
      <c r="B109" s="1" t="s">
        <v>48</v>
      </c>
      <c r="C109" s="3">
        <v>2.0299999999999998</v>
      </c>
      <c r="D109" s="4">
        <v>3.03</v>
      </c>
      <c r="E109" s="4">
        <v>4.03</v>
      </c>
      <c r="F109" s="4">
        <v>5.03</v>
      </c>
      <c r="G109" s="4">
        <v>6.03</v>
      </c>
      <c r="H109" s="4">
        <v>7.03</v>
      </c>
      <c r="I109" s="4">
        <v>9.0299999999999994</v>
      </c>
      <c r="J109" s="4">
        <v>10.029999999999999</v>
      </c>
      <c r="K109" s="4">
        <v>11.03</v>
      </c>
      <c r="L109" s="4">
        <v>12.03</v>
      </c>
      <c r="M109" s="4">
        <v>13.03</v>
      </c>
      <c r="N109" s="5">
        <v>14.03</v>
      </c>
      <c r="O109" s="4">
        <v>16.03</v>
      </c>
      <c r="P109" s="5">
        <v>17.03</v>
      </c>
      <c r="Q109" s="4">
        <v>18.03</v>
      </c>
      <c r="R109" s="4">
        <v>19.03</v>
      </c>
      <c r="S109" s="4">
        <v>20.03</v>
      </c>
      <c r="T109" s="4">
        <v>21.02</v>
      </c>
      <c r="U109" s="4">
        <v>23.03</v>
      </c>
      <c r="V109" s="4">
        <v>24.03</v>
      </c>
      <c r="W109" s="4">
        <v>25.03</v>
      </c>
      <c r="X109" s="6">
        <v>26.03</v>
      </c>
      <c r="Y109" s="8">
        <v>27.03</v>
      </c>
      <c r="Z109" s="8">
        <v>28.02</v>
      </c>
      <c r="AA109" s="8">
        <v>30.03</v>
      </c>
      <c r="AB109" s="8">
        <v>31.03</v>
      </c>
      <c r="AC109" s="9" t="s">
        <v>1</v>
      </c>
      <c r="AD109" s="10" t="s">
        <v>2</v>
      </c>
      <c r="AE109" s="11" t="s">
        <v>3</v>
      </c>
      <c r="AF109" s="12" t="s">
        <v>4</v>
      </c>
      <c r="AG109" s="12" t="s">
        <v>5</v>
      </c>
      <c r="AH109" s="10" t="s">
        <v>6</v>
      </c>
      <c r="AI109" s="10" t="s">
        <v>7</v>
      </c>
      <c r="AJ109" s="13" t="s">
        <v>8</v>
      </c>
      <c r="AK109" s="10" t="s">
        <v>9</v>
      </c>
      <c r="AL109" s="10" t="s">
        <v>10</v>
      </c>
      <c r="AM109" s="14" t="s">
        <v>11</v>
      </c>
      <c r="AN109" s="10" t="s">
        <v>12</v>
      </c>
    </row>
    <row r="110" spans="1:40" ht="54.75" customHeight="1" x14ac:dyDescent="0.6">
      <c r="A110" s="15">
        <v>13</v>
      </c>
      <c r="B110" s="16" t="s">
        <v>49</v>
      </c>
      <c r="C110" s="17">
        <v>193</v>
      </c>
      <c r="D110" s="17">
        <f>131.5+23/6</f>
        <v>135.33333333333334</v>
      </c>
      <c r="E110" s="18">
        <v>191</v>
      </c>
      <c r="F110" s="17">
        <v>191.75</v>
      </c>
      <c r="G110" s="17">
        <v>183.5</v>
      </c>
      <c r="H110" s="17">
        <v>173</v>
      </c>
      <c r="I110" s="17">
        <v>149</v>
      </c>
      <c r="J110" s="17">
        <v>47.5</v>
      </c>
      <c r="K110" s="17">
        <v>97.5</v>
      </c>
      <c r="L110" s="17">
        <v>146.5</v>
      </c>
      <c r="M110" s="17">
        <v>194.5</v>
      </c>
      <c r="N110" s="19">
        <v>0</v>
      </c>
      <c r="O110" s="17">
        <v>93</v>
      </c>
      <c r="P110" s="19">
        <v>0</v>
      </c>
      <c r="Q110" s="17">
        <f>84+6/6</f>
        <v>85</v>
      </c>
      <c r="R110" s="17">
        <v>144</v>
      </c>
      <c r="S110" s="17">
        <f>141.5+8/6</f>
        <v>142.83333333333334</v>
      </c>
      <c r="T110" s="17">
        <v>201</v>
      </c>
      <c r="U110" s="17">
        <v>191.75</v>
      </c>
      <c r="V110" s="17">
        <f>156.25+7/6</f>
        <v>157.41666666666666</v>
      </c>
      <c r="W110" s="17">
        <v>166</v>
      </c>
      <c r="X110" s="17">
        <v>144.5</v>
      </c>
      <c r="Y110" s="17">
        <f>104.5+30/6</f>
        <v>109.5</v>
      </c>
      <c r="Z110" s="17">
        <v>200.5</v>
      </c>
      <c r="AA110" s="17">
        <v>147</v>
      </c>
      <c r="AB110" s="17">
        <v>141</v>
      </c>
      <c r="AC110" s="20">
        <f>SUM(C110:AB110)</f>
        <v>3626.0833333333335</v>
      </c>
      <c r="AD110" s="21">
        <v>22</v>
      </c>
      <c r="AE110" s="21">
        <f>AD110*166</f>
        <v>3652</v>
      </c>
      <c r="AF110" s="21">
        <f>AC110-AE110</f>
        <v>-25.916666666666515</v>
      </c>
      <c r="AG110" s="21">
        <v>26</v>
      </c>
      <c r="AH110" s="21">
        <f>AF110/175</f>
        <v>-0.14809523809523722</v>
      </c>
      <c r="AI110" s="21">
        <f>AK110/AG110</f>
        <v>307.69230769230768</v>
      </c>
      <c r="AJ110" s="22">
        <f>AI110*AH110</f>
        <v>-45.567765567765299</v>
      </c>
      <c r="AK110" s="21">
        <v>8000</v>
      </c>
      <c r="AL110" s="23">
        <f>AK110+AJ110</f>
        <v>7954.4322344322345</v>
      </c>
      <c r="AM110" s="16" t="s">
        <v>49</v>
      </c>
      <c r="AN110" s="37"/>
    </row>
    <row r="111" spans="1:40" ht="27.75" customHeight="1" x14ac:dyDescent="0.4">
      <c r="A111" s="25"/>
      <c r="B111" s="1" t="s">
        <v>16</v>
      </c>
      <c r="C111" s="26">
        <v>15</v>
      </c>
      <c r="D111" s="26">
        <v>14</v>
      </c>
      <c r="E111" s="26">
        <v>15</v>
      </c>
      <c r="F111" s="26">
        <v>16</v>
      </c>
      <c r="G111" s="26">
        <v>15</v>
      </c>
      <c r="H111" s="26">
        <v>14</v>
      </c>
      <c r="I111" s="26">
        <v>14</v>
      </c>
      <c r="J111" s="26">
        <v>9</v>
      </c>
      <c r="K111" s="26">
        <v>14</v>
      </c>
      <c r="L111" s="26">
        <v>14</v>
      </c>
      <c r="M111" s="26">
        <v>15</v>
      </c>
      <c r="N111" s="27">
        <v>0</v>
      </c>
      <c r="O111" s="26">
        <v>14</v>
      </c>
      <c r="P111" s="27">
        <v>0</v>
      </c>
      <c r="Q111" s="26">
        <v>10</v>
      </c>
      <c r="R111" s="26">
        <v>13</v>
      </c>
      <c r="S111" s="26">
        <v>15</v>
      </c>
      <c r="T111" s="26">
        <v>14</v>
      </c>
      <c r="U111" s="26">
        <v>15</v>
      </c>
      <c r="V111" s="26">
        <v>14</v>
      </c>
      <c r="W111" s="26">
        <v>13</v>
      </c>
      <c r="X111" s="26">
        <v>14</v>
      </c>
      <c r="Y111" s="26">
        <v>14</v>
      </c>
      <c r="Z111" s="26">
        <v>15</v>
      </c>
      <c r="AA111" s="26">
        <v>14</v>
      </c>
      <c r="AB111" s="26">
        <v>14</v>
      </c>
    </row>
    <row r="112" spans="1:40" ht="27.75" customHeight="1" x14ac:dyDescent="0.4">
      <c r="A112" s="25"/>
      <c r="B112" s="1" t="s">
        <v>17</v>
      </c>
      <c r="C112" s="26">
        <f t="shared" ref="C112:M112" si="37">C110/C111</f>
        <v>12.866666666666667</v>
      </c>
      <c r="D112" s="26">
        <f t="shared" si="37"/>
        <v>9.6666666666666679</v>
      </c>
      <c r="E112" s="26">
        <f t="shared" si="37"/>
        <v>12.733333333333333</v>
      </c>
      <c r="F112" s="26">
        <f t="shared" si="37"/>
        <v>11.984375</v>
      </c>
      <c r="G112" s="26">
        <f t="shared" si="37"/>
        <v>12.233333333333333</v>
      </c>
      <c r="H112" s="26">
        <f t="shared" si="37"/>
        <v>12.357142857142858</v>
      </c>
      <c r="I112" s="26">
        <f t="shared" si="37"/>
        <v>10.642857142857142</v>
      </c>
      <c r="J112" s="26">
        <f t="shared" si="37"/>
        <v>5.2777777777777777</v>
      </c>
      <c r="K112" s="26">
        <f t="shared" si="37"/>
        <v>6.9642857142857144</v>
      </c>
      <c r="L112" s="26">
        <f t="shared" si="37"/>
        <v>10.464285714285714</v>
      </c>
      <c r="M112" s="26">
        <f t="shared" si="37"/>
        <v>12.966666666666667</v>
      </c>
      <c r="N112" s="27">
        <v>0</v>
      </c>
      <c r="O112" s="26">
        <f>O110/O111</f>
        <v>6.6428571428571432</v>
      </c>
      <c r="P112" s="27">
        <v>0</v>
      </c>
      <c r="Q112" s="26">
        <f t="shared" ref="Q112:AB112" si="38">Q110/Q111</f>
        <v>8.5</v>
      </c>
      <c r="R112" s="26">
        <f t="shared" si="38"/>
        <v>11.076923076923077</v>
      </c>
      <c r="S112" s="26">
        <f t="shared" si="38"/>
        <v>9.5222222222222221</v>
      </c>
      <c r="T112" s="26">
        <f t="shared" si="38"/>
        <v>14.357142857142858</v>
      </c>
      <c r="U112" s="26">
        <f t="shared" si="38"/>
        <v>12.783333333333333</v>
      </c>
      <c r="V112" s="26">
        <f t="shared" si="38"/>
        <v>11.244047619047619</v>
      </c>
      <c r="W112" s="26">
        <f t="shared" si="38"/>
        <v>12.76923076923077</v>
      </c>
      <c r="X112" s="26">
        <f t="shared" si="38"/>
        <v>10.321428571428571</v>
      </c>
      <c r="Y112" s="26">
        <f t="shared" si="38"/>
        <v>7.8214285714285712</v>
      </c>
      <c r="Z112" s="26">
        <f t="shared" si="38"/>
        <v>13.366666666666667</v>
      </c>
      <c r="AA112" s="26">
        <f t="shared" si="38"/>
        <v>10.5</v>
      </c>
      <c r="AB112" s="26">
        <f t="shared" si="38"/>
        <v>10.071428571428571</v>
      </c>
      <c r="AC112" s="2">
        <f>SUM(C112:AB112)</f>
        <v>257.13410027472526</v>
      </c>
      <c r="AE112" s="1" t="s">
        <v>18</v>
      </c>
      <c r="AG112" s="1">
        <f>AI110/11.5</f>
        <v>26.755852842809364</v>
      </c>
    </row>
    <row r="113" spans="1:40" ht="27.75" customHeight="1" x14ac:dyDescent="0.4">
      <c r="A113" s="25"/>
      <c r="B113" s="1" t="s">
        <v>19</v>
      </c>
      <c r="C113" s="26">
        <v>11.5</v>
      </c>
      <c r="D113" s="26">
        <v>11.5</v>
      </c>
      <c r="E113" s="26">
        <v>11.5</v>
      </c>
      <c r="F113" s="26">
        <v>11.5</v>
      </c>
      <c r="G113" s="26">
        <v>11.5</v>
      </c>
      <c r="H113" s="26">
        <v>11.5</v>
      </c>
      <c r="I113" s="26">
        <v>11.5</v>
      </c>
      <c r="J113" s="26">
        <v>11.5</v>
      </c>
      <c r="K113" s="26">
        <v>11.5</v>
      </c>
      <c r="L113" s="26">
        <v>11.5</v>
      </c>
      <c r="M113" s="26">
        <v>11.5</v>
      </c>
      <c r="N113" s="27">
        <v>0</v>
      </c>
      <c r="O113" s="26">
        <v>11.5</v>
      </c>
      <c r="P113" s="27">
        <v>0</v>
      </c>
      <c r="Q113" s="26">
        <v>11.5</v>
      </c>
      <c r="R113" s="26">
        <v>11.5</v>
      </c>
      <c r="S113" s="26">
        <v>11.5</v>
      </c>
      <c r="T113" s="26">
        <v>11.5</v>
      </c>
      <c r="U113" s="26">
        <v>11.5</v>
      </c>
      <c r="V113" s="26">
        <v>11.5</v>
      </c>
      <c r="W113" s="26">
        <v>11.5</v>
      </c>
      <c r="X113" s="26">
        <v>11.5</v>
      </c>
      <c r="Y113" s="26">
        <v>11.5</v>
      </c>
      <c r="Z113" s="26">
        <v>11.5</v>
      </c>
      <c r="AA113" s="26">
        <v>11.5</v>
      </c>
      <c r="AB113" s="26">
        <v>11.5</v>
      </c>
      <c r="AC113" s="2">
        <f>SUM(C113:AB113)</f>
        <v>276</v>
      </c>
      <c r="AE113" s="1" t="s">
        <v>20</v>
      </c>
      <c r="AG113" s="1">
        <f>AC114*AG112</f>
        <v>-504.77323679664812</v>
      </c>
    </row>
    <row r="114" spans="1:40" ht="27.75" customHeight="1" x14ac:dyDescent="0.4">
      <c r="A114" s="28"/>
      <c r="B114" s="29" t="s">
        <v>21</v>
      </c>
      <c r="C114" s="30">
        <f t="shared" ref="C114:AB114" si="39">C112-C113</f>
        <v>1.3666666666666671</v>
      </c>
      <c r="D114" s="30">
        <f t="shared" si="39"/>
        <v>-1.8333333333333321</v>
      </c>
      <c r="E114" s="30">
        <f t="shared" si="39"/>
        <v>1.2333333333333325</v>
      </c>
      <c r="F114" s="30">
        <f t="shared" si="39"/>
        <v>0.484375</v>
      </c>
      <c r="G114" s="30">
        <f t="shared" si="39"/>
        <v>0.7333333333333325</v>
      </c>
      <c r="H114" s="30">
        <f t="shared" si="39"/>
        <v>0.85714285714285765</v>
      </c>
      <c r="I114" s="30">
        <f t="shared" si="39"/>
        <v>-0.85714285714285765</v>
      </c>
      <c r="J114" s="30">
        <f t="shared" si="39"/>
        <v>-6.2222222222222223</v>
      </c>
      <c r="K114" s="30">
        <f t="shared" si="39"/>
        <v>-4.5357142857142856</v>
      </c>
      <c r="L114" s="30">
        <f t="shared" si="39"/>
        <v>-1.0357142857142865</v>
      </c>
      <c r="M114" s="30">
        <f t="shared" si="39"/>
        <v>1.4666666666666668</v>
      </c>
      <c r="N114" s="31">
        <f t="shared" si="39"/>
        <v>0</v>
      </c>
      <c r="O114" s="30">
        <f t="shared" si="39"/>
        <v>-4.8571428571428568</v>
      </c>
      <c r="P114" s="31">
        <f t="shared" si="39"/>
        <v>0</v>
      </c>
      <c r="Q114" s="30">
        <f t="shared" si="39"/>
        <v>-3</v>
      </c>
      <c r="R114" s="30">
        <f t="shared" si="39"/>
        <v>-0.42307692307692335</v>
      </c>
      <c r="S114" s="30">
        <f t="shared" si="39"/>
        <v>-1.9777777777777779</v>
      </c>
      <c r="T114" s="30">
        <f t="shared" si="39"/>
        <v>2.8571428571428577</v>
      </c>
      <c r="U114" s="30">
        <f t="shared" si="39"/>
        <v>1.2833333333333332</v>
      </c>
      <c r="V114" s="30">
        <f t="shared" si="39"/>
        <v>-0.25595238095238138</v>
      </c>
      <c r="W114" s="30">
        <f t="shared" si="39"/>
        <v>1.2692307692307701</v>
      </c>
      <c r="X114" s="30">
        <f t="shared" si="39"/>
        <v>-1.1785714285714288</v>
      </c>
      <c r="Y114" s="30">
        <f t="shared" si="39"/>
        <v>-3.6785714285714288</v>
      </c>
      <c r="Z114" s="30">
        <f t="shared" si="39"/>
        <v>1.8666666666666671</v>
      </c>
      <c r="AA114" s="30">
        <f t="shared" si="39"/>
        <v>-1</v>
      </c>
      <c r="AB114" s="30">
        <f t="shared" si="39"/>
        <v>-1.4285714285714288</v>
      </c>
      <c r="AC114" s="2">
        <f>SUM(C114:AB114)</f>
        <v>-18.865899725274723</v>
      </c>
    </row>
    <row r="115" spans="1:40" ht="27.75" customHeight="1" x14ac:dyDescent="0.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40" ht="27.75" customHeight="1" x14ac:dyDescent="0.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40" ht="27.75" customHeight="1" x14ac:dyDescent="0.4">
      <c r="C117" s="3">
        <v>2.0299999999999998</v>
      </c>
      <c r="D117" s="4">
        <v>3.03</v>
      </c>
      <c r="E117" s="4">
        <v>4.03</v>
      </c>
      <c r="F117" s="4">
        <v>5.03</v>
      </c>
      <c r="G117" s="4">
        <v>6.03</v>
      </c>
      <c r="H117" s="4">
        <v>7.03</v>
      </c>
      <c r="I117" s="4">
        <v>9.0299999999999994</v>
      </c>
      <c r="J117" s="5">
        <v>10.029999999999999</v>
      </c>
      <c r="K117" s="4">
        <v>11.03</v>
      </c>
      <c r="L117" s="4">
        <v>12.03</v>
      </c>
      <c r="M117" s="4">
        <v>13.03</v>
      </c>
      <c r="N117" s="4">
        <v>14.03</v>
      </c>
      <c r="O117" s="4">
        <v>16.03</v>
      </c>
      <c r="P117" s="4">
        <v>17.03</v>
      </c>
      <c r="Q117" s="4">
        <v>18.03</v>
      </c>
      <c r="R117" s="5">
        <v>19.03</v>
      </c>
      <c r="S117" s="4">
        <v>20.03</v>
      </c>
      <c r="T117" s="4">
        <v>21.02</v>
      </c>
      <c r="U117" s="4">
        <v>23.03</v>
      </c>
      <c r="V117" s="4">
        <v>24.03</v>
      </c>
      <c r="W117" s="4">
        <v>25.03</v>
      </c>
      <c r="X117" s="6">
        <v>26.03</v>
      </c>
      <c r="Y117" s="8">
        <v>27.03</v>
      </c>
      <c r="Z117" s="8">
        <v>28.02</v>
      </c>
      <c r="AA117" s="8">
        <v>30.03</v>
      </c>
      <c r="AB117" s="8">
        <v>31.03</v>
      </c>
      <c r="AC117" s="9" t="s">
        <v>1</v>
      </c>
      <c r="AD117" s="10" t="s">
        <v>2</v>
      </c>
      <c r="AE117" s="11" t="s">
        <v>3</v>
      </c>
      <c r="AF117" s="12" t="s">
        <v>4</v>
      </c>
      <c r="AG117" s="12" t="s">
        <v>5</v>
      </c>
      <c r="AH117" s="10" t="s">
        <v>6</v>
      </c>
      <c r="AI117" s="10" t="s">
        <v>7</v>
      </c>
      <c r="AJ117" s="13" t="s">
        <v>8</v>
      </c>
      <c r="AK117" s="10" t="s">
        <v>9</v>
      </c>
      <c r="AL117" s="10" t="s">
        <v>10</v>
      </c>
      <c r="AM117" s="14" t="s">
        <v>11</v>
      </c>
      <c r="AN117" s="10" t="s">
        <v>12</v>
      </c>
    </row>
    <row r="118" spans="1:40" ht="42.75" customHeight="1" x14ac:dyDescent="0.6">
      <c r="A118" s="34">
        <v>14</v>
      </c>
      <c r="B118" s="36" t="s">
        <v>50</v>
      </c>
      <c r="C118" s="17">
        <v>193</v>
      </c>
      <c r="D118" s="17">
        <f>131.5+23/6</f>
        <v>135.33333333333334</v>
      </c>
      <c r="E118" s="18">
        <v>191</v>
      </c>
      <c r="F118" s="17">
        <v>191.75</v>
      </c>
      <c r="G118" s="17">
        <v>183.5</v>
      </c>
      <c r="H118" s="17">
        <v>173</v>
      </c>
      <c r="I118" s="17">
        <v>149</v>
      </c>
      <c r="J118" s="19">
        <v>0</v>
      </c>
      <c r="K118" s="17">
        <v>97.5</v>
      </c>
      <c r="L118" s="17">
        <v>146.5</v>
      </c>
      <c r="M118" s="17">
        <v>194.5</v>
      </c>
      <c r="N118" s="17">
        <v>188.5</v>
      </c>
      <c r="O118" s="17">
        <v>93</v>
      </c>
      <c r="P118" s="17">
        <v>73.5</v>
      </c>
      <c r="Q118" s="17">
        <f>84+6/6</f>
        <v>85</v>
      </c>
      <c r="R118" s="19">
        <v>0</v>
      </c>
      <c r="S118" s="17">
        <f>141.5+8/6</f>
        <v>142.83333333333334</v>
      </c>
      <c r="T118" s="17">
        <v>201</v>
      </c>
      <c r="U118" s="17">
        <v>191.75</v>
      </c>
      <c r="V118" s="17">
        <f>156.25+7/6</f>
        <v>157.41666666666666</v>
      </c>
      <c r="W118" s="17">
        <v>166</v>
      </c>
      <c r="X118" s="17">
        <v>144.5</v>
      </c>
      <c r="Y118" s="17">
        <f>104.5+30/6</f>
        <v>109.5</v>
      </c>
      <c r="Z118" s="17">
        <v>200.5</v>
      </c>
      <c r="AA118" s="17">
        <v>147</v>
      </c>
      <c r="AB118" s="17">
        <v>141</v>
      </c>
      <c r="AC118" s="20">
        <f>SUM(C118:AB118)</f>
        <v>3696.5833333333335</v>
      </c>
      <c r="AD118" s="21">
        <v>23</v>
      </c>
      <c r="AE118" s="21">
        <f>AD118*166</f>
        <v>3818</v>
      </c>
      <c r="AF118" s="21">
        <f>AC118-AE118</f>
        <v>-121.41666666666652</v>
      </c>
      <c r="AG118" s="21">
        <v>26</v>
      </c>
      <c r="AH118" s="21">
        <f>AF118/175</f>
        <v>-0.69380952380952299</v>
      </c>
      <c r="AI118" s="21">
        <f>AK118/AG118</f>
        <v>288.46153846153845</v>
      </c>
      <c r="AJ118" s="22">
        <f>AI118*AH118</f>
        <v>-200.1373626373624</v>
      </c>
      <c r="AK118" s="21">
        <v>7500</v>
      </c>
      <c r="AL118" s="23">
        <f>AK118+AJ118</f>
        <v>7299.8626373626375</v>
      </c>
      <c r="AM118" s="2" t="s">
        <v>50</v>
      </c>
      <c r="AN118" s="37"/>
    </row>
    <row r="119" spans="1:40" ht="27.75" customHeight="1" x14ac:dyDescent="0.4">
      <c r="A119" s="25"/>
      <c r="B119" s="1" t="s">
        <v>16</v>
      </c>
      <c r="C119" s="26">
        <v>15</v>
      </c>
      <c r="D119" s="26">
        <v>14</v>
      </c>
      <c r="E119" s="26">
        <v>15</v>
      </c>
      <c r="F119" s="26">
        <v>16</v>
      </c>
      <c r="G119" s="26">
        <v>15</v>
      </c>
      <c r="H119" s="26">
        <v>14</v>
      </c>
      <c r="I119" s="26">
        <v>14</v>
      </c>
      <c r="J119" s="27">
        <v>0</v>
      </c>
      <c r="K119" s="26">
        <v>14</v>
      </c>
      <c r="L119" s="26">
        <v>14</v>
      </c>
      <c r="M119" s="26">
        <v>15</v>
      </c>
      <c r="N119" s="26">
        <v>16</v>
      </c>
      <c r="O119" s="26">
        <v>14</v>
      </c>
      <c r="P119" s="26">
        <v>8</v>
      </c>
      <c r="Q119" s="26">
        <v>10</v>
      </c>
      <c r="R119" s="27">
        <v>0</v>
      </c>
      <c r="S119" s="26">
        <v>15</v>
      </c>
      <c r="T119" s="26">
        <v>14</v>
      </c>
      <c r="U119" s="26">
        <v>15</v>
      </c>
      <c r="V119" s="26">
        <v>14</v>
      </c>
      <c r="W119" s="26">
        <v>13</v>
      </c>
      <c r="X119" s="26">
        <v>14</v>
      </c>
      <c r="Y119" s="26">
        <v>14</v>
      </c>
      <c r="Z119" s="26">
        <v>15</v>
      </c>
      <c r="AA119" s="26">
        <v>14</v>
      </c>
      <c r="AB119" s="26">
        <v>14</v>
      </c>
    </row>
    <row r="120" spans="1:40" ht="27.75" customHeight="1" x14ac:dyDescent="0.4">
      <c r="A120" s="25"/>
      <c r="B120" s="1" t="s">
        <v>17</v>
      </c>
      <c r="C120" s="26">
        <f t="shared" ref="C120:I120" si="40">C118/C119</f>
        <v>12.866666666666667</v>
      </c>
      <c r="D120" s="26">
        <f t="shared" si="40"/>
        <v>9.6666666666666679</v>
      </c>
      <c r="E120" s="26">
        <f t="shared" si="40"/>
        <v>12.733333333333333</v>
      </c>
      <c r="F120" s="26">
        <f t="shared" si="40"/>
        <v>11.984375</v>
      </c>
      <c r="G120" s="26">
        <f t="shared" si="40"/>
        <v>12.233333333333333</v>
      </c>
      <c r="H120" s="26">
        <f t="shared" si="40"/>
        <v>12.357142857142858</v>
      </c>
      <c r="I120" s="26">
        <f t="shared" si="40"/>
        <v>10.642857142857142</v>
      </c>
      <c r="J120" s="27">
        <v>0</v>
      </c>
      <c r="K120" s="26">
        <f t="shared" ref="K120:Q120" si="41">K118/K119</f>
        <v>6.9642857142857144</v>
      </c>
      <c r="L120" s="26">
        <f t="shared" si="41"/>
        <v>10.464285714285714</v>
      </c>
      <c r="M120" s="26">
        <f t="shared" si="41"/>
        <v>12.966666666666667</v>
      </c>
      <c r="N120" s="26">
        <f t="shared" si="41"/>
        <v>11.78125</v>
      </c>
      <c r="O120" s="26">
        <f t="shared" si="41"/>
        <v>6.6428571428571432</v>
      </c>
      <c r="P120" s="26">
        <f t="shared" si="41"/>
        <v>9.1875</v>
      </c>
      <c r="Q120" s="26">
        <f t="shared" si="41"/>
        <v>8.5</v>
      </c>
      <c r="R120" s="27">
        <v>0</v>
      </c>
      <c r="S120" s="26">
        <f t="shared" ref="S120:AB120" si="42">S118/S119</f>
        <v>9.5222222222222221</v>
      </c>
      <c r="T120" s="26">
        <f t="shared" si="42"/>
        <v>14.357142857142858</v>
      </c>
      <c r="U120" s="26">
        <f t="shared" si="42"/>
        <v>12.783333333333333</v>
      </c>
      <c r="V120" s="26">
        <f t="shared" si="42"/>
        <v>11.244047619047619</v>
      </c>
      <c r="W120" s="26">
        <f t="shared" si="42"/>
        <v>12.76923076923077</v>
      </c>
      <c r="X120" s="26">
        <f t="shared" si="42"/>
        <v>10.321428571428571</v>
      </c>
      <c r="Y120" s="26">
        <f t="shared" si="42"/>
        <v>7.8214285714285712</v>
      </c>
      <c r="Z120" s="26">
        <f t="shared" si="42"/>
        <v>13.366666666666667</v>
      </c>
      <c r="AA120" s="26">
        <f t="shared" si="42"/>
        <v>10.5</v>
      </c>
      <c r="AB120" s="26">
        <f t="shared" si="42"/>
        <v>10.071428571428571</v>
      </c>
      <c r="AC120" s="2">
        <f>SUM(C120:AB120)</f>
        <v>261.74814942002445</v>
      </c>
      <c r="AE120" s="1" t="s">
        <v>18</v>
      </c>
      <c r="AG120" s="1">
        <f>AI118/11.5</f>
        <v>25.083612040133779</v>
      </c>
    </row>
    <row r="121" spans="1:40" ht="27.75" customHeight="1" x14ac:dyDescent="0.4">
      <c r="A121" s="25"/>
      <c r="B121" s="1" t="s">
        <v>19</v>
      </c>
      <c r="C121" s="26">
        <v>11.5</v>
      </c>
      <c r="D121" s="26">
        <v>11.5</v>
      </c>
      <c r="E121" s="26">
        <v>11.5</v>
      </c>
      <c r="F121" s="26">
        <v>11.5</v>
      </c>
      <c r="G121" s="26">
        <v>11.5</v>
      </c>
      <c r="H121" s="26">
        <v>11.5</v>
      </c>
      <c r="I121" s="26">
        <v>11.5</v>
      </c>
      <c r="J121" s="27">
        <v>0</v>
      </c>
      <c r="K121" s="26">
        <v>11.5</v>
      </c>
      <c r="L121" s="26">
        <v>11.5</v>
      </c>
      <c r="M121" s="26">
        <v>11.5</v>
      </c>
      <c r="N121" s="26">
        <v>11.5</v>
      </c>
      <c r="O121" s="26">
        <v>11.5</v>
      </c>
      <c r="P121" s="26">
        <v>11.5</v>
      </c>
      <c r="Q121" s="26">
        <v>11.5</v>
      </c>
      <c r="R121" s="27">
        <v>0</v>
      </c>
      <c r="S121" s="26">
        <v>11.5</v>
      </c>
      <c r="T121" s="26">
        <v>11.5</v>
      </c>
      <c r="U121" s="26">
        <v>11.5</v>
      </c>
      <c r="V121" s="26">
        <v>11.5</v>
      </c>
      <c r="W121" s="26">
        <v>11.5</v>
      </c>
      <c r="X121" s="26">
        <v>11.5</v>
      </c>
      <c r="Y121" s="26">
        <v>11.5</v>
      </c>
      <c r="Z121" s="26">
        <v>11.5</v>
      </c>
      <c r="AA121" s="26">
        <v>11.5</v>
      </c>
      <c r="AB121" s="26">
        <v>11.5</v>
      </c>
      <c r="AC121" s="2">
        <f>SUM(C121:AB121)</f>
        <v>276</v>
      </c>
      <c r="AE121" s="1" t="s">
        <v>20</v>
      </c>
      <c r="AG121" s="1">
        <f>AC122*AG120</f>
        <v>-357.48789080206302</v>
      </c>
    </row>
    <row r="122" spans="1:40" ht="27.75" customHeight="1" x14ac:dyDescent="0.4">
      <c r="A122" s="28"/>
      <c r="B122" s="29" t="s">
        <v>21</v>
      </c>
      <c r="C122" s="30">
        <f t="shared" ref="C122:AB122" si="43">C120-C121</f>
        <v>1.3666666666666671</v>
      </c>
      <c r="D122" s="30">
        <f t="shared" si="43"/>
        <v>-1.8333333333333321</v>
      </c>
      <c r="E122" s="30">
        <f t="shared" si="43"/>
        <v>1.2333333333333325</v>
      </c>
      <c r="F122" s="30">
        <f t="shared" si="43"/>
        <v>0.484375</v>
      </c>
      <c r="G122" s="30">
        <f t="shared" si="43"/>
        <v>0.7333333333333325</v>
      </c>
      <c r="H122" s="30">
        <f t="shared" si="43"/>
        <v>0.85714285714285765</v>
      </c>
      <c r="I122" s="30">
        <f t="shared" si="43"/>
        <v>-0.85714285714285765</v>
      </c>
      <c r="J122" s="31">
        <f t="shared" si="43"/>
        <v>0</v>
      </c>
      <c r="K122" s="30">
        <f t="shared" si="43"/>
        <v>-4.5357142857142856</v>
      </c>
      <c r="L122" s="30">
        <f t="shared" si="43"/>
        <v>-1.0357142857142865</v>
      </c>
      <c r="M122" s="30">
        <f t="shared" si="43"/>
        <v>1.4666666666666668</v>
      </c>
      <c r="N122" s="30">
        <f t="shared" si="43"/>
        <v>0.28125</v>
      </c>
      <c r="O122" s="30">
        <f t="shared" si="43"/>
        <v>-4.8571428571428568</v>
      </c>
      <c r="P122" s="30">
        <f t="shared" si="43"/>
        <v>-2.3125</v>
      </c>
      <c r="Q122" s="30">
        <f t="shared" si="43"/>
        <v>-3</v>
      </c>
      <c r="R122" s="31">
        <f t="shared" si="43"/>
        <v>0</v>
      </c>
      <c r="S122" s="30">
        <f t="shared" si="43"/>
        <v>-1.9777777777777779</v>
      </c>
      <c r="T122" s="30">
        <f t="shared" si="43"/>
        <v>2.8571428571428577</v>
      </c>
      <c r="U122" s="30">
        <f t="shared" si="43"/>
        <v>1.2833333333333332</v>
      </c>
      <c r="V122" s="30">
        <f t="shared" si="43"/>
        <v>-0.25595238095238138</v>
      </c>
      <c r="W122" s="30">
        <f t="shared" si="43"/>
        <v>1.2692307692307701</v>
      </c>
      <c r="X122" s="30">
        <f t="shared" si="43"/>
        <v>-1.1785714285714288</v>
      </c>
      <c r="Y122" s="30">
        <f t="shared" si="43"/>
        <v>-3.6785714285714288</v>
      </c>
      <c r="Z122" s="30">
        <f t="shared" si="43"/>
        <v>1.8666666666666671</v>
      </c>
      <c r="AA122" s="30">
        <f t="shared" si="43"/>
        <v>-1</v>
      </c>
      <c r="AB122" s="30">
        <f t="shared" si="43"/>
        <v>-1.4285714285714288</v>
      </c>
      <c r="AC122" s="2">
        <f>SUM(C122:AB122)</f>
        <v>-14.25185057997558</v>
      </c>
    </row>
    <row r="123" spans="1:40" ht="27.75" customHeight="1" x14ac:dyDescent="0.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40" ht="27.75" customHeight="1" x14ac:dyDescent="0.4"/>
    <row r="125" spans="1:40" ht="30.75" customHeight="1" x14ac:dyDescent="0.4">
      <c r="B125" s="1" t="s">
        <v>52</v>
      </c>
      <c r="C125" s="3">
        <v>2.0299999999999998</v>
      </c>
      <c r="D125" s="5">
        <v>3.03</v>
      </c>
      <c r="E125" s="4">
        <v>4.03</v>
      </c>
      <c r="F125" s="4">
        <v>5.03</v>
      </c>
      <c r="G125" s="4">
        <v>6.03</v>
      </c>
      <c r="H125" s="4">
        <v>7.03</v>
      </c>
      <c r="I125" s="4">
        <v>9.0299999999999994</v>
      </c>
      <c r="J125" s="4">
        <v>10.029999999999999</v>
      </c>
      <c r="K125" s="4">
        <v>11.03</v>
      </c>
      <c r="L125" s="5">
        <v>12.03</v>
      </c>
      <c r="M125" s="4">
        <v>13.03</v>
      </c>
      <c r="N125" s="4">
        <v>14.03</v>
      </c>
      <c r="O125" s="4">
        <v>16.03</v>
      </c>
      <c r="P125" s="5">
        <v>17.03</v>
      </c>
      <c r="Q125" s="4">
        <v>18.03</v>
      </c>
      <c r="R125" s="4">
        <v>19.03</v>
      </c>
      <c r="S125" s="4">
        <v>20.03</v>
      </c>
      <c r="T125" s="4">
        <v>21.02</v>
      </c>
      <c r="U125" s="4">
        <v>23.03</v>
      </c>
      <c r="V125" s="5">
        <v>24.03</v>
      </c>
      <c r="W125" s="4">
        <v>25.03</v>
      </c>
      <c r="X125" s="6">
        <v>26.03</v>
      </c>
      <c r="Y125" s="8">
        <v>27.03</v>
      </c>
      <c r="Z125" s="8">
        <v>28.02</v>
      </c>
      <c r="AA125" s="8">
        <v>30.03</v>
      </c>
      <c r="AB125" s="8">
        <v>31.03</v>
      </c>
      <c r="AC125" s="9" t="s">
        <v>1</v>
      </c>
      <c r="AD125" s="10" t="s">
        <v>2</v>
      </c>
      <c r="AE125" s="11" t="s">
        <v>3</v>
      </c>
      <c r="AF125" s="12" t="s">
        <v>4</v>
      </c>
      <c r="AG125" s="12" t="s">
        <v>5</v>
      </c>
      <c r="AH125" s="10" t="s">
        <v>6</v>
      </c>
      <c r="AI125" s="10" t="s">
        <v>7</v>
      </c>
      <c r="AJ125" s="13" t="s">
        <v>8</v>
      </c>
      <c r="AK125" s="10" t="s">
        <v>9</v>
      </c>
      <c r="AL125" s="10" t="s">
        <v>10</v>
      </c>
      <c r="AM125" s="14" t="s">
        <v>11</v>
      </c>
      <c r="AN125" s="10" t="s">
        <v>12</v>
      </c>
    </row>
    <row r="126" spans="1:40" ht="39.75" customHeight="1" x14ac:dyDescent="0.6">
      <c r="A126" s="15">
        <v>15</v>
      </c>
      <c r="B126" s="46" t="s">
        <v>53</v>
      </c>
      <c r="C126" s="17">
        <v>193</v>
      </c>
      <c r="D126" s="19">
        <v>0</v>
      </c>
      <c r="E126" s="18">
        <v>191</v>
      </c>
      <c r="F126" s="17">
        <v>191.75</v>
      </c>
      <c r="G126" s="17">
        <v>183.5</v>
      </c>
      <c r="H126" s="17">
        <v>173</v>
      </c>
      <c r="I126" s="17">
        <v>149</v>
      </c>
      <c r="J126" s="17">
        <v>47.5</v>
      </c>
      <c r="K126" s="17">
        <v>97.5</v>
      </c>
      <c r="L126" s="19">
        <v>0</v>
      </c>
      <c r="M126" s="17">
        <v>194.5</v>
      </c>
      <c r="N126" s="17">
        <v>188.5</v>
      </c>
      <c r="O126" s="17">
        <v>93</v>
      </c>
      <c r="P126" s="19">
        <v>0</v>
      </c>
      <c r="Q126" s="17">
        <f>84+6/6</f>
        <v>85</v>
      </c>
      <c r="R126" s="17">
        <v>144</v>
      </c>
      <c r="S126" s="17">
        <f>141.5+8/6</f>
        <v>142.83333333333334</v>
      </c>
      <c r="T126" s="17">
        <v>201</v>
      </c>
      <c r="U126" s="17">
        <v>191.75</v>
      </c>
      <c r="V126" s="19">
        <v>0</v>
      </c>
      <c r="W126" s="17">
        <v>166</v>
      </c>
      <c r="X126" s="17">
        <v>144.5</v>
      </c>
      <c r="Y126" s="17">
        <f>104.5+30/6</f>
        <v>109.5</v>
      </c>
      <c r="Z126" s="17">
        <v>200.5</v>
      </c>
      <c r="AA126" s="17">
        <v>147</v>
      </c>
      <c r="AB126" s="17">
        <v>141</v>
      </c>
      <c r="AC126" s="20">
        <f>SUM(C126:AB126)</f>
        <v>3375.3333333333335</v>
      </c>
      <c r="AD126" s="21">
        <v>22</v>
      </c>
      <c r="AE126" s="21">
        <f>AD126*166</f>
        <v>3652</v>
      </c>
      <c r="AF126" s="21">
        <f>AC126-AE126</f>
        <v>-276.66666666666652</v>
      </c>
      <c r="AG126" s="21">
        <v>26</v>
      </c>
      <c r="AH126" s="21">
        <f>AF126/175</f>
        <v>-1.58095238095238</v>
      </c>
      <c r="AI126" s="21">
        <f>AK126/AG126</f>
        <v>365.38461538461536</v>
      </c>
      <c r="AJ126" s="22">
        <f>AI126*AH126</f>
        <v>-577.65567765567721</v>
      </c>
      <c r="AK126" s="21">
        <v>9500</v>
      </c>
      <c r="AL126" s="23">
        <f>AK126+AJ126</f>
        <v>8922.3443223443228</v>
      </c>
      <c r="AM126" s="46" t="s">
        <v>53</v>
      </c>
      <c r="AN126" s="37"/>
    </row>
    <row r="127" spans="1:40" ht="27.75" customHeight="1" x14ac:dyDescent="0.4">
      <c r="A127" s="25"/>
      <c r="B127" s="1" t="s">
        <v>16</v>
      </c>
      <c r="C127" s="26">
        <v>15</v>
      </c>
      <c r="D127" s="27">
        <v>0</v>
      </c>
      <c r="E127" s="26">
        <v>15</v>
      </c>
      <c r="F127" s="26">
        <v>16</v>
      </c>
      <c r="G127" s="26">
        <v>15</v>
      </c>
      <c r="H127" s="26">
        <v>14</v>
      </c>
      <c r="I127" s="26">
        <v>14</v>
      </c>
      <c r="J127" s="26">
        <v>9</v>
      </c>
      <c r="K127" s="26">
        <v>14</v>
      </c>
      <c r="L127" s="27">
        <v>0</v>
      </c>
      <c r="M127" s="26">
        <v>15</v>
      </c>
      <c r="N127" s="26">
        <v>16</v>
      </c>
      <c r="O127" s="26">
        <v>14</v>
      </c>
      <c r="P127" s="27">
        <v>0</v>
      </c>
      <c r="Q127" s="26">
        <v>10</v>
      </c>
      <c r="R127" s="26">
        <v>13</v>
      </c>
      <c r="S127" s="26">
        <v>15</v>
      </c>
      <c r="T127" s="26">
        <v>14</v>
      </c>
      <c r="U127" s="26">
        <v>15</v>
      </c>
      <c r="V127" s="27">
        <v>0</v>
      </c>
      <c r="W127" s="26">
        <v>13</v>
      </c>
      <c r="X127" s="26">
        <v>14</v>
      </c>
      <c r="Y127" s="26">
        <v>14</v>
      </c>
      <c r="Z127" s="26">
        <v>15</v>
      </c>
      <c r="AA127" s="26">
        <v>14</v>
      </c>
      <c r="AB127" s="26">
        <v>14</v>
      </c>
    </row>
    <row r="128" spans="1:40" ht="27.75" customHeight="1" x14ac:dyDescent="0.4">
      <c r="A128" s="25"/>
      <c r="B128" s="1" t="s">
        <v>17</v>
      </c>
      <c r="C128" s="26">
        <f>C126/C127</f>
        <v>12.866666666666667</v>
      </c>
      <c r="D128" s="27">
        <v>0</v>
      </c>
      <c r="E128" s="26">
        <f t="shared" ref="E128:K128" si="44">E126/E127</f>
        <v>12.733333333333333</v>
      </c>
      <c r="F128" s="26">
        <f t="shared" si="44"/>
        <v>11.984375</v>
      </c>
      <c r="G128" s="26">
        <f t="shared" si="44"/>
        <v>12.233333333333333</v>
      </c>
      <c r="H128" s="26">
        <f t="shared" si="44"/>
        <v>12.357142857142858</v>
      </c>
      <c r="I128" s="26">
        <f t="shared" si="44"/>
        <v>10.642857142857142</v>
      </c>
      <c r="J128" s="26">
        <f t="shared" si="44"/>
        <v>5.2777777777777777</v>
      </c>
      <c r="K128" s="26">
        <f t="shared" si="44"/>
        <v>6.9642857142857144</v>
      </c>
      <c r="L128" s="27">
        <v>0</v>
      </c>
      <c r="M128" s="26">
        <f>M126/M127</f>
        <v>12.966666666666667</v>
      </c>
      <c r="N128" s="26">
        <f>N126/N127</f>
        <v>11.78125</v>
      </c>
      <c r="O128" s="26">
        <f>O126/O127</f>
        <v>6.6428571428571432</v>
      </c>
      <c r="P128" s="27">
        <v>0</v>
      </c>
      <c r="Q128" s="26">
        <f>Q126/Q127</f>
        <v>8.5</v>
      </c>
      <c r="R128" s="26">
        <f>R126/R127</f>
        <v>11.076923076923077</v>
      </c>
      <c r="S128" s="26">
        <f>S126/S127</f>
        <v>9.5222222222222221</v>
      </c>
      <c r="T128" s="26">
        <f>T126/T127</f>
        <v>14.357142857142858</v>
      </c>
      <c r="U128" s="26">
        <f>U126/U127</f>
        <v>12.783333333333333</v>
      </c>
      <c r="V128" s="27">
        <v>0</v>
      </c>
      <c r="W128" s="26">
        <f t="shared" ref="W128:AB128" si="45">W126/W127</f>
        <v>12.76923076923077</v>
      </c>
      <c r="X128" s="26">
        <f t="shared" si="45"/>
        <v>10.321428571428571</v>
      </c>
      <c r="Y128" s="26">
        <f t="shared" si="45"/>
        <v>7.8214285714285712</v>
      </c>
      <c r="Z128" s="26">
        <f t="shared" si="45"/>
        <v>13.366666666666667</v>
      </c>
      <c r="AA128" s="26">
        <f t="shared" si="45"/>
        <v>10.5</v>
      </c>
      <c r="AB128" s="26">
        <f t="shared" si="45"/>
        <v>10.071428571428571</v>
      </c>
      <c r="AC128" s="2">
        <f>SUM(C128:AB128)</f>
        <v>237.54035027472528</v>
      </c>
      <c r="AE128" s="1" t="s">
        <v>18</v>
      </c>
      <c r="AG128" s="1">
        <f>AI126/11.5</f>
        <v>31.77257525083612</v>
      </c>
    </row>
    <row r="129" spans="1:40" ht="27.75" customHeight="1" x14ac:dyDescent="0.4">
      <c r="A129" s="25"/>
      <c r="B129" s="1" t="s">
        <v>19</v>
      </c>
      <c r="C129" s="26">
        <v>11.5</v>
      </c>
      <c r="D129" s="27">
        <v>0</v>
      </c>
      <c r="E129" s="26">
        <v>11.5</v>
      </c>
      <c r="F129" s="26">
        <v>11.5</v>
      </c>
      <c r="G129" s="26">
        <v>11.5</v>
      </c>
      <c r="H129" s="26">
        <v>11.5</v>
      </c>
      <c r="I129" s="26">
        <v>11.5</v>
      </c>
      <c r="J129" s="26">
        <v>11.5</v>
      </c>
      <c r="K129" s="26">
        <v>11.5</v>
      </c>
      <c r="L129" s="27">
        <v>0</v>
      </c>
      <c r="M129" s="26">
        <v>11.5</v>
      </c>
      <c r="N129" s="26">
        <v>11.5</v>
      </c>
      <c r="O129" s="26">
        <v>11.5</v>
      </c>
      <c r="P129" s="27">
        <v>0</v>
      </c>
      <c r="Q129" s="26">
        <v>11.5</v>
      </c>
      <c r="R129" s="26">
        <v>11.5</v>
      </c>
      <c r="S129" s="26">
        <v>11.5</v>
      </c>
      <c r="T129" s="26">
        <v>11.5</v>
      </c>
      <c r="U129" s="26">
        <v>11.5</v>
      </c>
      <c r="V129" s="27">
        <v>0</v>
      </c>
      <c r="W129" s="26">
        <v>11.5</v>
      </c>
      <c r="X129" s="26">
        <v>11.5</v>
      </c>
      <c r="Y129" s="26">
        <v>11.5</v>
      </c>
      <c r="Z129" s="26">
        <v>11.5</v>
      </c>
      <c r="AA129" s="26">
        <v>11.5</v>
      </c>
      <c r="AB129" s="26">
        <v>11.5</v>
      </c>
      <c r="AC129" s="2">
        <f>SUM(C129:AB129)</f>
        <v>253</v>
      </c>
      <c r="AE129" s="1" t="s">
        <v>20</v>
      </c>
      <c r="AG129" s="1">
        <f>AC130*AG128</f>
        <v>-491.19288424785918</v>
      </c>
    </row>
    <row r="130" spans="1:40" ht="27.75" customHeight="1" x14ac:dyDescent="0.4">
      <c r="A130" s="28"/>
      <c r="B130" s="29" t="s">
        <v>21</v>
      </c>
      <c r="C130" s="30">
        <f t="shared" ref="C130:AB130" si="46">C128-C129</f>
        <v>1.3666666666666671</v>
      </c>
      <c r="D130" s="31">
        <f t="shared" si="46"/>
        <v>0</v>
      </c>
      <c r="E130" s="30">
        <f t="shared" si="46"/>
        <v>1.2333333333333325</v>
      </c>
      <c r="F130" s="30">
        <f t="shared" si="46"/>
        <v>0.484375</v>
      </c>
      <c r="G130" s="30">
        <f t="shared" si="46"/>
        <v>0.7333333333333325</v>
      </c>
      <c r="H130" s="30">
        <f t="shared" si="46"/>
        <v>0.85714285714285765</v>
      </c>
      <c r="I130" s="30">
        <f t="shared" si="46"/>
        <v>-0.85714285714285765</v>
      </c>
      <c r="J130" s="30">
        <f t="shared" si="46"/>
        <v>-6.2222222222222223</v>
      </c>
      <c r="K130" s="30">
        <f t="shared" si="46"/>
        <v>-4.5357142857142856</v>
      </c>
      <c r="L130" s="31">
        <f t="shared" si="46"/>
        <v>0</v>
      </c>
      <c r="M130" s="30">
        <f t="shared" si="46"/>
        <v>1.4666666666666668</v>
      </c>
      <c r="N130" s="30">
        <f t="shared" si="46"/>
        <v>0.28125</v>
      </c>
      <c r="O130" s="30">
        <f t="shared" si="46"/>
        <v>-4.8571428571428568</v>
      </c>
      <c r="P130" s="31">
        <f t="shared" si="46"/>
        <v>0</v>
      </c>
      <c r="Q130" s="30">
        <f t="shared" si="46"/>
        <v>-3</v>
      </c>
      <c r="R130" s="30">
        <f t="shared" si="46"/>
        <v>-0.42307692307692335</v>
      </c>
      <c r="S130" s="30">
        <f t="shared" si="46"/>
        <v>-1.9777777777777779</v>
      </c>
      <c r="T130" s="30">
        <f t="shared" si="46"/>
        <v>2.8571428571428577</v>
      </c>
      <c r="U130" s="30">
        <f t="shared" si="46"/>
        <v>1.2833333333333332</v>
      </c>
      <c r="V130" s="31">
        <f t="shared" si="46"/>
        <v>0</v>
      </c>
      <c r="W130" s="30">
        <f t="shared" si="46"/>
        <v>1.2692307692307701</v>
      </c>
      <c r="X130" s="30">
        <f t="shared" si="46"/>
        <v>-1.1785714285714288</v>
      </c>
      <c r="Y130" s="30">
        <f t="shared" si="46"/>
        <v>-3.6785714285714288</v>
      </c>
      <c r="Z130" s="30">
        <f t="shared" si="46"/>
        <v>1.8666666666666671</v>
      </c>
      <c r="AA130" s="30">
        <f t="shared" si="46"/>
        <v>-1</v>
      </c>
      <c r="AB130" s="30">
        <f t="shared" si="46"/>
        <v>-1.4285714285714288</v>
      </c>
      <c r="AC130" s="2">
        <f>SUM(C130:AB130)</f>
        <v>-15.459649725274726</v>
      </c>
    </row>
    <row r="131" spans="1:40" ht="27.75" customHeight="1" x14ac:dyDescent="0.4"/>
    <row r="132" spans="1:40" ht="27.75" customHeight="1" x14ac:dyDescent="0.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40" ht="27.75" customHeight="1" x14ac:dyDescent="0.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40" ht="27.75" customHeight="1" x14ac:dyDescent="0.4">
      <c r="B134" s="1" t="s">
        <v>55</v>
      </c>
      <c r="C134" s="3">
        <v>2.0299999999999998</v>
      </c>
      <c r="D134" s="5">
        <v>3.03</v>
      </c>
      <c r="E134" s="4">
        <v>4.03</v>
      </c>
      <c r="F134" s="4">
        <v>5.03</v>
      </c>
      <c r="G134" s="4">
        <v>6.03</v>
      </c>
      <c r="H134" s="4">
        <v>7.03</v>
      </c>
      <c r="I134" s="4">
        <v>9.0299999999999994</v>
      </c>
      <c r="J134" s="5">
        <v>10.029999999999999</v>
      </c>
      <c r="K134" s="4">
        <v>11.03</v>
      </c>
      <c r="L134" s="4">
        <v>12.03</v>
      </c>
      <c r="M134" s="4">
        <v>13.03</v>
      </c>
      <c r="N134" s="4">
        <v>14.03</v>
      </c>
      <c r="O134" s="4">
        <v>16.03</v>
      </c>
      <c r="P134" s="5">
        <v>17.03</v>
      </c>
      <c r="Q134" s="5">
        <v>18.03</v>
      </c>
      <c r="R134" s="4">
        <v>19.03</v>
      </c>
      <c r="S134" s="4">
        <v>20.03</v>
      </c>
      <c r="T134" s="4">
        <v>21.02</v>
      </c>
      <c r="U134" s="4">
        <v>23.03</v>
      </c>
      <c r="V134" s="4">
        <v>24.03</v>
      </c>
      <c r="W134" s="4">
        <v>25.03</v>
      </c>
      <c r="X134" s="6">
        <v>26.03</v>
      </c>
      <c r="Y134" s="8">
        <v>27.03</v>
      </c>
      <c r="Z134" s="8">
        <v>28.02</v>
      </c>
      <c r="AA134" s="8">
        <v>30.03</v>
      </c>
      <c r="AB134" s="8">
        <v>31.03</v>
      </c>
      <c r="AC134" s="9" t="s">
        <v>1</v>
      </c>
      <c r="AD134" s="10" t="s">
        <v>2</v>
      </c>
      <c r="AE134" s="11" t="s">
        <v>3</v>
      </c>
      <c r="AF134" s="12" t="s">
        <v>4</v>
      </c>
      <c r="AG134" s="12" t="s">
        <v>5</v>
      </c>
      <c r="AH134" s="10" t="s">
        <v>6</v>
      </c>
      <c r="AI134" s="10" t="s">
        <v>7</v>
      </c>
      <c r="AJ134" s="13" t="s">
        <v>8</v>
      </c>
      <c r="AK134" s="10" t="s">
        <v>9</v>
      </c>
      <c r="AL134" s="10" t="s">
        <v>10</v>
      </c>
      <c r="AM134" s="14" t="s">
        <v>11</v>
      </c>
      <c r="AN134" s="10" t="s">
        <v>12</v>
      </c>
    </row>
    <row r="135" spans="1:40" ht="48" customHeight="1" x14ac:dyDescent="0.6">
      <c r="A135" s="15">
        <v>16</v>
      </c>
      <c r="B135" s="16" t="s">
        <v>56</v>
      </c>
      <c r="C135" s="17">
        <v>193</v>
      </c>
      <c r="D135" s="19">
        <v>0</v>
      </c>
      <c r="E135" s="18">
        <v>191</v>
      </c>
      <c r="F135" s="17">
        <v>191.75</v>
      </c>
      <c r="G135" s="17">
        <v>183.5</v>
      </c>
      <c r="H135" s="17">
        <v>173</v>
      </c>
      <c r="I135" s="17">
        <v>149</v>
      </c>
      <c r="J135" s="19">
        <v>0</v>
      </c>
      <c r="K135" s="17">
        <v>97.5</v>
      </c>
      <c r="L135" s="17">
        <v>146.5</v>
      </c>
      <c r="M135" s="17">
        <v>194.5</v>
      </c>
      <c r="N135" s="17">
        <v>188.5</v>
      </c>
      <c r="O135" s="17">
        <v>93</v>
      </c>
      <c r="P135" s="19">
        <v>0</v>
      </c>
      <c r="Q135" s="19">
        <v>0</v>
      </c>
      <c r="R135" s="17">
        <v>144</v>
      </c>
      <c r="S135" s="17">
        <f>141.5+8/6</f>
        <v>142.83333333333334</v>
      </c>
      <c r="T135" s="17">
        <v>201</v>
      </c>
      <c r="U135" s="17">
        <v>191.75</v>
      </c>
      <c r="V135" s="17">
        <f>156.25+7/6</f>
        <v>157.41666666666666</v>
      </c>
      <c r="W135" s="17">
        <v>166</v>
      </c>
      <c r="X135" s="17">
        <v>144.5</v>
      </c>
      <c r="Y135" s="17">
        <f>104.5+30/6</f>
        <v>109.5</v>
      </c>
      <c r="Z135" s="17">
        <v>200.5</v>
      </c>
      <c r="AA135" s="17">
        <v>147</v>
      </c>
      <c r="AB135" s="17">
        <v>141</v>
      </c>
      <c r="AC135" s="20">
        <f>SUM(C135:AB135)</f>
        <v>3546.75</v>
      </c>
      <c r="AD135" s="21">
        <v>22</v>
      </c>
      <c r="AE135" s="21">
        <f>AD135*166</f>
        <v>3652</v>
      </c>
      <c r="AF135" s="21">
        <f>AC135-AE135</f>
        <v>-105.25</v>
      </c>
      <c r="AG135" s="21">
        <v>26</v>
      </c>
      <c r="AH135" s="21">
        <f>AF135/175</f>
        <v>-0.60142857142857142</v>
      </c>
      <c r="AI135" s="21">
        <f>AK135/AG135</f>
        <v>326.92307692307691</v>
      </c>
      <c r="AJ135" s="22">
        <f>AI135*AH135</f>
        <v>-196.6208791208791</v>
      </c>
      <c r="AK135" s="21">
        <v>8500</v>
      </c>
      <c r="AL135" s="23">
        <f>AK135+AJ135</f>
        <v>8303.3791208791208</v>
      </c>
      <c r="AM135" s="16" t="s">
        <v>56</v>
      </c>
      <c r="AN135" s="24"/>
    </row>
    <row r="136" spans="1:40" ht="27.75" customHeight="1" x14ac:dyDescent="0.4">
      <c r="A136" s="25"/>
      <c r="B136" s="1" t="s">
        <v>16</v>
      </c>
      <c r="C136" s="26">
        <v>15</v>
      </c>
      <c r="D136" s="27">
        <v>0</v>
      </c>
      <c r="E136" s="26">
        <v>15</v>
      </c>
      <c r="F136" s="26">
        <v>16</v>
      </c>
      <c r="G136" s="26">
        <v>15</v>
      </c>
      <c r="H136" s="26">
        <v>14</v>
      </c>
      <c r="I136" s="26">
        <v>14</v>
      </c>
      <c r="J136" s="27">
        <v>0</v>
      </c>
      <c r="K136" s="26">
        <v>14</v>
      </c>
      <c r="L136" s="26">
        <v>14</v>
      </c>
      <c r="M136" s="26">
        <v>15</v>
      </c>
      <c r="N136" s="26">
        <v>16</v>
      </c>
      <c r="O136" s="26">
        <v>14</v>
      </c>
      <c r="P136" s="27">
        <v>0</v>
      </c>
      <c r="Q136" s="27">
        <v>0</v>
      </c>
      <c r="R136" s="26">
        <v>13</v>
      </c>
      <c r="S136" s="26">
        <v>15</v>
      </c>
      <c r="T136" s="26">
        <v>14</v>
      </c>
      <c r="U136" s="26">
        <v>15</v>
      </c>
      <c r="V136" s="26">
        <v>14</v>
      </c>
      <c r="W136" s="26">
        <v>13</v>
      </c>
      <c r="X136" s="26">
        <v>14</v>
      </c>
      <c r="Y136" s="26">
        <v>14</v>
      </c>
      <c r="Z136" s="26">
        <v>15</v>
      </c>
      <c r="AA136" s="26">
        <v>14</v>
      </c>
      <c r="AB136" s="26">
        <v>14</v>
      </c>
    </row>
    <row r="137" spans="1:40" ht="27.75" customHeight="1" x14ac:dyDescent="0.4">
      <c r="A137" s="25"/>
      <c r="B137" s="1" t="s">
        <v>17</v>
      </c>
      <c r="C137" s="26">
        <f>C135/C136</f>
        <v>12.866666666666667</v>
      </c>
      <c r="D137" s="27">
        <v>0</v>
      </c>
      <c r="E137" s="26">
        <f>E135/E136</f>
        <v>12.733333333333333</v>
      </c>
      <c r="F137" s="26">
        <f>F135/F136</f>
        <v>11.984375</v>
      </c>
      <c r="G137" s="26">
        <f>G135/G136</f>
        <v>12.233333333333333</v>
      </c>
      <c r="H137" s="26">
        <f>H135/H136</f>
        <v>12.357142857142858</v>
      </c>
      <c r="I137" s="26">
        <f>I135/I136</f>
        <v>10.642857142857142</v>
      </c>
      <c r="J137" s="27">
        <v>0</v>
      </c>
      <c r="K137" s="26">
        <f>K135/K136</f>
        <v>6.9642857142857144</v>
      </c>
      <c r="L137" s="26">
        <f>L135/L136</f>
        <v>10.464285714285714</v>
      </c>
      <c r="M137" s="26">
        <f>M135/M136</f>
        <v>12.966666666666667</v>
      </c>
      <c r="N137" s="26">
        <f>N135/N136</f>
        <v>11.78125</v>
      </c>
      <c r="O137" s="26">
        <f>O135/O136</f>
        <v>6.6428571428571432</v>
      </c>
      <c r="P137" s="27">
        <v>0</v>
      </c>
      <c r="Q137" s="27">
        <v>0</v>
      </c>
      <c r="R137" s="26">
        <f t="shared" ref="R137:AB137" si="47">R135/R136</f>
        <v>11.076923076923077</v>
      </c>
      <c r="S137" s="26">
        <f t="shared" si="47"/>
        <v>9.5222222222222221</v>
      </c>
      <c r="T137" s="26">
        <f t="shared" si="47"/>
        <v>14.357142857142858</v>
      </c>
      <c r="U137" s="26">
        <f t="shared" si="47"/>
        <v>12.783333333333333</v>
      </c>
      <c r="V137" s="26">
        <f t="shared" si="47"/>
        <v>11.244047619047619</v>
      </c>
      <c r="W137" s="26">
        <f t="shared" si="47"/>
        <v>12.76923076923077</v>
      </c>
      <c r="X137" s="26">
        <f t="shared" si="47"/>
        <v>10.321428571428571</v>
      </c>
      <c r="Y137" s="26">
        <f t="shared" si="47"/>
        <v>7.8214285714285712</v>
      </c>
      <c r="Z137" s="26">
        <f t="shared" si="47"/>
        <v>13.366666666666667</v>
      </c>
      <c r="AA137" s="26">
        <f t="shared" si="47"/>
        <v>10.5</v>
      </c>
      <c r="AB137" s="26">
        <f t="shared" si="47"/>
        <v>10.071428571428571</v>
      </c>
      <c r="AC137" s="2">
        <f>SUM(C137:AB137)</f>
        <v>245.47090583028086</v>
      </c>
      <c r="AE137" s="1" t="s">
        <v>18</v>
      </c>
      <c r="AG137" s="1">
        <f>AI135/11.5</f>
        <v>28.42809364548495</v>
      </c>
    </row>
    <row r="138" spans="1:40" ht="27.75" customHeight="1" x14ac:dyDescent="0.4">
      <c r="A138" s="25"/>
      <c r="B138" s="1" t="s">
        <v>19</v>
      </c>
      <c r="C138" s="42">
        <v>11.5</v>
      </c>
      <c r="D138" s="27">
        <v>0</v>
      </c>
      <c r="E138" s="42">
        <v>11.5</v>
      </c>
      <c r="F138" s="42">
        <v>11.5</v>
      </c>
      <c r="G138" s="42">
        <v>11.5</v>
      </c>
      <c r="H138" s="42">
        <v>0</v>
      </c>
      <c r="I138" s="42">
        <v>11.5</v>
      </c>
      <c r="J138" s="27">
        <v>0</v>
      </c>
      <c r="K138" s="42">
        <v>11.5</v>
      </c>
      <c r="L138" s="42">
        <v>11.5</v>
      </c>
      <c r="M138" s="42">
        <v>11.5</v>
      </c>
      <c r="N138" s="42">
        <v>11.5</v>
      </c>
      <c r="O138" s="42">
        <v>0</v>
      </c>
      <c r="P138" s="27">
        <v>0</v>
      </c>
      <c r="Q138" s="27">
        <v>0</v>
      </c>
      <c r="R138" s="42">
        <v>11.5</v>
      </c>
      <c r="S138" s="42">
        <v>11.5</v>
      </c>
      <c r="T138" s="42">
        <v>11.5</v>
      </c>
      <c r="U138" s="42">
        <v>11.5</v>
      </c>
      <c r="V138" s="42">
        <v>0</v>
      </c>
      <c r="W138" s="42">
        <v>11.5</v>
      </c>
      <c r="X138" s="42">
        <v>11.5</v>
      </c>
      <c r="Y138" s="42">
        <v>11.5</v>
      </c>
      <c r="Z138" s="42">
        <v>11.5</v>
      </c>
      <c r="AA138" s="42">
        <v>11.5</v>
      </c>
      <c r="AB138" s="42">
        <v>11.5</v>
      </c>
      <c r="AC138" s="2">
        <f>SUM(C138:AB138)</f>
        <v>218.5</v>
      </c>
      <c r="AE138" s="1" t="s">
        <v>20</v>
      </c>
      <c r="AG138" s="1">
        <f>AC139*AG137</f>
        <v>766.73143664677912</v>
      </c>
    </row>
    <row r="139" spans="1:40" ht="27.75" customHeight="1" x14ac:dyDescent="0.4">
      <c r="A139" s="28"/>
      <c r="B139" s="29" t="s">
        <v>21</v>
      </c>
      <c r="C139" s="30">
        <f t="shared" ref="C139:AB139" si="48">C137-C138</f>
        <v>1.3666666666666671</v>
      </c>
      <c r="D139" s="31">
        <f t="shared" si="48"/>
        <v>0</v>
      </c>
      <c r="E139" s="30">
        <f t="shared" si="48"/>
        <v>1.2333333333333325</v>
      </c>
      <c r="F139" s="30">
        <f t="shared" si="48"/>
        <v>0.484375</v>
      </c>
      <c r="G139" s="30">
        <f t="shared" si="48"/>
        <v>0.7333333333333325</v>
      </c>
      <c r="H139" s="30">
        <f t="shared" si="48"/>
        <v>12.357142857142858</v>
      </c>
      <c r="I139" s="30">
        <f t="shared" si="48"/>
        <v>-0.85714285714285765</v>
      </c>
      <c r="J139" s="31">
        <f t="shared" si="48"/>
        <v>0</v>
      </c>
      <c r="K139" s="30">
        <f t="shared" si="48"/>
        <v>-4.5357142857142856</v>
      </c>
      <c r="L139" s="30">
        <f t="shared" si="48"/>
        <v>-1.0357142857142865</v>
      </c>
      <c r="M139" s="30">
        <f t="shared" si="48"/>
        <v>1.4666666666666668</v>
      </c>
      <c r="N139" s="30">
        <f t="shared" si="48"/>
        <v>0.28125</v>
      </c>
      <c r="O139" s="30">
        <f t="shared" si="48"/>
        <v>6.6428571428571432</v>
      </c>
      <c r="P139" s="31">
        <f t="shared" si="48"/>
        <v>0</v>
      </c>
      <c r="Q139" s="31">
        <f t="shared" si="48"/>
        <v>0</v>
      </c>
      <c r="R139" s="30">
        <f t="shared" si="48"/>
        <v>-0.42307692307692335</v>
      </c>
      <c r="S139" s="30">
        <f t="shared" si="48"/>
        <v>-1.9777777777777779</v>
      </c>
      <c r="T139" s="30">
        <f t="shared" si="48"/>
        <v>2.8571428571428577</v>
      </c>
      <c r="U139" s="30">
        <f t="shared" si="48"/>
        <v>1.2833333333333332</v>
      </c>
      <c r="V139" s="30">
        <f t="shared" si="48"/>
        <v>11.244047619047619</v>
      </c>
      <c r="W139" s="30">
        <f t="shared" si="48"/>
        <v>1.2692307692307701</v>
      </c>
      <c r="X139" s="30">
        <f t="shared" si="48"/>
        <v>-1.1785714285714288</v>
      </c>
      <c r="Y139" s="30">
        <f t="shared" si="48"/>
        <v>-3.6785714285714288</v>
      </c>
      <c r="Z139" s="30">
        <f t="shared" si="48"/>
        <v>1.8666666666666671</v>
      </c>
      <c r="AA139" s="30">
        <f t="shared" si="48"/>
        <v>-1</v>
      </c>
      <c r="AB139" s="30">
        <f t="shared" si="48"/>
        <v>-1.4285714285714288</v>
      </c>
      <c r="AC139" s="2">
        <f>SUM(C139:AB139)</f>
        <v>26.97090583028082</v>
      </c>
    </row>
    <row r="140" spans="1:40" ht="27.75" customHeight="1" x14ac:dyDescent="0.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AC140" s="2"/>
    </row>
    <row r="141" spans="1:40" ht="27.75" customHeight="1" x14ac:dyDescent="0.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AL141"/>
  <sheetViews>
    <sheetView topLeftCell="D113" zoomScale="50" workbookViewId="0">
      <selection activeCell="AL78" sqref="AL78"/>
    </sheetView>
  </sheetViews>
  <sheetFormatPr defaultColWidth="8.6640625" defaultRowHeight="19.8" x14ac:dyDescent="0.4"/>
  <cols>
    <col min="1" max="1" width="8.6640625" style="48" customWidth="1"/>
    <col min="2" max="2" width="37.109375" style="48" customWidth="1"/>
    <col min="3" max="3" width="14.88671875" style="48" customWidth="1"/>
    <col min="4" max="4" width="18.5546875" style="48" customWidth="1"/>
    <col min="5" max="27" width="14.88671875" style="48" customWidth="1"/>
    <col min="28" max="28" width="10.33203125" style="48" customWidth="1"/>
    <col min="29" max="29" width="11.5546875" style="48" customWidth="1"/>
    <col min="30" max="30" width="10.6640625" style="48" bestFit="1" customWidth="1"/>
    <col min="31" max="31" width="12.44140625" style="48" customWidth="1"/>
    <col min="32" max="32" width="11.5546875" style="48" customWidth="1"/>
    <col min="33" max="33" width="8.6640625" style="48" customWidth="1"/>
    <col min="34" max="34" width="14.109375" style="48" customWidth="1"/>
    <col min="35" max="35" width="12" style="48" customWidth="1"/>
    <col min="36" max="36" width="13.5546875" style="48" customWidth="1"/>
    <col min="37" max="37" width="27.5546875" style="49" customWidth="1"/>
    <col min="38" max="38" width="36.109375" style="48" customWidth="1"/>
    <col min="39" max="40" width="8.6640625" style="48" customWidth="1"/>
    <col min="41" max="16384" width="8.6640625" style="48"/>
  </cols>
  <sheetData>
    <row r="4" spans="1:38" ht="27.75" customHeight="1" x14ac:dyDescent="0.4"/>
    <row r="5" spans="1:38" ht="27.75" customHeight="1" x14ac:dyDescent="0.4">
      <c r="B5" s="48" t="s">
        <v>0</v>
      </c>
      <c r="C5" s="50">
        <v>2.02</v>
      </c>
      <c r="D5" s="51">
        <v>3.02</v>
      </c>
      <c r="E5" s="51">
        <v>4.0199999999999996</v>
      </c>
      <c r="F5" s="51">
        <v>5.0199999999999996</v>
      </c>
      <c r="G5" s="51">
        <v>6.02</v>
      </c>
      <c r="H5" s="51">
        <v>7.02</v>
      </c>
      <c r="I5" s="51">
        <v>9.02</v>
      </c>
      <c r="J5" s="51">
        <v>10.02</v>
      </c>
      <c r="K5" s="51">
        <v>11.02</v>
      </c>
      <c r="L5" s="51">
        <v>12.02</v>
      </c>
      <c r="M5" s="51">
        <v>13.02</v>
      </c>
      <c r="N5" s="51">
        <v>14.02</v>
      </c>
      <c r="O5" s="51">
        <v>16.02</v>
      </c>
      <c r="P5" s="51">
        <v>17.02</v>
      </c>
      <c r="Q5" s="51">
        <v>18.02</v>
      </c>
      <c r="R5" s="51">
        <v>19.02</v>
      </c>
      <c r="S5" s="51">
        <v>20.02</v>
      </c>
      <c r="T5" s="51">
        <v>21.02</v>
      </c>
      <c r="U5" s="51">
        <v>23.02</v>
      </c>
      <c r="V5" s="51">
        <v>24.02</v>
      </c>
      <c r="W5" s="51">
        <v>25.02</v>
      </c>
      <c r="X5" s="52">
        <v>26.02</v>
      </c>
      <c r="Y5" s="53">
        <v>27.02</v>
      </c>
      <c r="Z5" s="53">
        <v>28.02</v>
      </c>
      <c r="AA5" s="54" t="s">
        <v>1</v>
      </c>
      <c r="AB5" s="55" t="s">
        <v>2</v>
      </c>
      <c r="AC5" s="56" t="s">
        <v>3</v>
      </c>
      <c r="AD5" s="57" t="s">
        <v>4</v>
      </c>
      <c r="AE5" s="57" t="s">
        <v>5</v>
      </c>
      <c r="AF5" s="55" t="s">
        <v>6</v>
      </c>
      <c r="AG5" s="55" t="s">
        <v>7</v>
      </c>
      <c r="AH5" s="58" t="s">
        <v>8</v>
      </c>
      <c r="AI5" s="55" t="s">
        <v>9</v>
      </c>
      <c r="AJ5" s="55" t="s">
        <v>10</v>
      </c>
      <c r="AK5" s="59" t="s">
        <v>11</v>
      </c>
      <c r="AL5" s="55" t="s">
        <v>12</v>
      </c>
    </row>
    <row r="6" spans="1:38" ht="44.25" customHeight="1" x14ac:dyDescent="0.6">
      <c r="A6" s="60">
        <v>1</v>
      </c>
      <c r="B6" s="61" t="s">
        <v>14</v>
      </c>
      <c r="C6" s="62">
        <v>195.25</v>
      </c>
      <c r="D6" s="62">
        <v>183.75</v>
      </c>
      <c r="E6" s="63">
        <v>183</v>
      </c>
      <c r="F6" s="62">
        <f>127.5+32/6</f>
        <v>132.83333333333334</v>
      </c>
      <c r="G6" s="62">
        <v>164.5</v>
      </c>
      <c r="H6" s="62">
        <v>177.25</v>
      </c>
      <c r="I6" s="62">
        <v>161.25</v>
      </c>
      <c r="J6" s="62">
        <f>120+1/6</f>
        <v>120.16666666666667</v>
      </c>
      <c r="K6" s="62">
        <v>133.5</v>
      </c>
      <c r="L6" s="62">
        <v>181</v>
      </c>
      <c r="M6" s="62">
        <v>196.75</v>
      </c>
      <c r="N6" s="62">
        <v>172.5</v>
      </c>
      <c r="O6" s="62">
        <f>151.5+2/6</f>
        <v>151.83333333333334</v>
      </c>
      <c r="P6" s="62">
        <v>71</v>
      </c>
      <c r="Q6" s="62">
        <v>172.75</v>
      </c>
      <c r="R6" s="62">
        <v>115</v>
      </c>
      <c r="S6" s="62">
        <v>107</v>
      </c>
      <c r="T6" s="62">
        <v>140</v>
      </c>
      <c r="U6" s="62">
        <v>186.5</v>
      </c>
      <c r="V6" s="62">
        <v>104.5</v>
      </c>
      <c r="W6" s="62">
        <v>103</v>
      </c>
      <c r="X6" s="62">
        <v>145</v>
      </c>
      <c r="Y6" s="62">
        <v>223</v>
      </c>
      <c r="Z6" s="62">
        <v>179.5</v>
      </c>
      <c r="AA6" s="64">
        <f>SUM(C6:Z6)</f>
        <v>3700.8333333333335</v>
      </c>
      <c r="AB6" s="65">
        <v>24</v>
      </c>
      <c r="AC6" s="65">
        <f>AB6*166</f>
        <v>3984</v>
      </c>
      <c r="AD6" s="65">
        <f>AA6-AC6</f>
        <v>-283.16666666666652</v>
      </c>
      <c r="AE6" s="65">
        <v>24</v>
      </c>
      <c r="AF6" s="65">
        <f>AD6/175</f>
        <v>-1.6180952380952371</v>
      </c>
      <c r="AG6" s="65">
        <f>AI6/AE6</f>
        <v>395.83333333333331</v>
      </c>
      <c r="AH6" s="66">
        <f>AG6*AF6</f>
        <v>-640.49603174603135</v>
      </c>
      <c r="AI6" s="65">
        <v>9500</v>
      </c>
      <c r="AJ6" s="67">
        <f>AI6+AH6</f>
        <v>8859.5039682539682</v>
      </c>
      <c r="AK6" s="61" t="s">
        <v>14</v>
      </c>
      <c r="AL6" s="68"/>
    </row>
    <row r="7" spans="1:38" ht="27.75" customHeight="1" x14ac:dyDescent="0.4">
      <c r="A7" s="69"/>
      <c r="B7" s="48" t="s">
        <v>16</v>
      </c>
      <c r="C7" s="70">
        <v>14</v>
      </c>
      <c r="D7" s="70">
        <v>16</v>
      </c>
      <c r="E7" s="70">
        <v>14</v>
      </c>
      <c r="F7" s="70">
        <v>14.5</v>
      </c>
      <c r="G7" s="70">
        <v>15.5</v>
      </c>
      <c r="H7" s="70">
        <v>14.5</v>
      </c>
      <c r="I7" s="70">
        <v>13</v>
      </c>
      <c r="J7" s="70">
        <v>15</v>
      </c>
      <c r="K7" s="70">
        <v>14</v>
      </c>
      <c r="L7" s="70">
        <v>14.5</v>
      </c>
      <c r="M7" s="70">
        <v>15.5</v>
      </c>
      <c r="N7" s="70">
        <v>15.5</v>
      </c>
      <c r="O7" s="70">
        <v>15</v>
      </c>
      <c r="P7" s="70">
        <v>14</v>
      </c>
      <c r="Q7" s="70">
        <v>13.5</v>
      </c>
      <c r="R7" s="70">
        <v>15</v>
      </c>
      <c r="S7" s="70">
        <v>12</v>
      </c>
      <c r="T7" s="70">
        <v>14</v>
      </c>
      <c r="U7" s="70">
        <v>15.5</v>
      </c>
      <c r="V7" s="70">
        <v>14</v>
      </c>
      <c r="W7" s="70">
        <v>12</v>
      </c>
      <c r="X7" s="70">
        <v>14</v>
      </c>
      <c r="Y7" s="70">
        <v>15.5</v>
      </c>
      <c r="Z7" s="70">
        <v>14.5</v>
      </c>
    </row>
    <row r="8" spans="1:38" ht="27.75" customHeight="1" x14ac:dyDescent="0.4">
      <c r="A8" s="69"/>
      <c r="B8" s="48" t="s">
        <v>17</v>
      </c>
      <c r="C8" s="70">
        <f t="shared" ref="C8:Z8" si="0">C6/C7</f>
        <v>13.946428571428571</v>
      </c>
      <c r="D8" s="70">
        <f t="shared" si="0"/>
        <v>11.484375</v>
      </c>
      <c r="E8" s="70">
        <f t="shared" si="0"/>
        <v>13.071428571428571</v>
      </c>
      <c r="F8" s="70">
        <f t="shared" si="0"/>
        <v>9.1609195402298855</v>
      </c>
      <c r="G8" s="70">
        <f t="shared" si="0"/>
        <v>10.612903225806452</v>
      </c>
      <c r="H8" s="70">
        <f t="shared" si="0"/>
        <v>12.224137931034482</v>
      </c>
      <c r="I8" s="70">
        <f t="shared" si="0"/>
        <v>12.403846153846153</v>
      </c>
      <c r="J8" s="70">
        <f t="shared" si="0"/>
        <v>8.0111111111111111</v>
      </c>
      <c r="K8" s="70">
        <f t="shared" si="0"/>
        <v>9.5357142857142865</v>
      </c>
      <c r="L8" s="70">
        <f t="shared" si="0"/>
        <v>12.482758620689655</v>
      </c>
      <c r="M8" s="70">
        <f t="shared" si="0"/>
        <v>12.693548387096774</v>
      </c>
      <c r="N8" s="70">
        <f t="shared" si="0"/>
        <v>11.129032258064516</v>
      </c>
      <c r="O8" s="70">
        <f t="shared" si="0"/>
        <v>10.122222222222224</v>
      </c>
      <c r="P8" s="70">
        <f t="shared" si="0"/>
        <v>5.0714285714285712</v>
      </c>
      <c r="Q8" s="70">
        <f t="shared" si="0"/>
        <v>12.796296296296296</v>
      </c>
      <c r="R8" s="70">
        <f t="shared" si="0"/>
        <v>7.666666666666667</v>
      </c>
      <c r="S8" s="70">
        <f t="shared" si="0"/>
        <v>8.9166666666666661</v>
      </c>
      <c r="T8" s="70">
        <f t="shared" si="0"/>
        <v>10</v>
      </c>
      <c r="U8" s="70">
        <f t="shared" si="0"/>
        <v>12.03225806451613</v>
      </c>
      <c r="V8" s="70">
        <f t="shared" si="0"/>
        <v>7.4642857142857144</v>
      </c>
      <c r="W8" s="70">
        <f t="shared" si="0"/>
        <v>8.5833333333333339</v>
      </c>
      <c r="X8" s="70">
        <f t="shared" si="0"/>
        <v>10.357142857142858</v>
      </c>
      <c r="Y8" s="70">
        <f t="shared" si="0"/>
        <v>14.387096774193548</v>
      </c>
      <c r="Z8" s="70">
        <f t="shared" si="0"/>
        <v>12.379310344827585</v>
      </c>
      <c r="AA8" s="49">
        <f>SUM(C8:Z8)</f>
        <v>256.53291116803001</v>
      </c>
      <c r="AC8" s="48" t="s">
        <v>18</v>
      </c>
      <c r="AE8" s="48">
        <f>AG6/11.5</f>
        <v>34.420289855072461</v>
      </c>
    </row>
    <row r="9" spans="1:38" ht="27.75" customHeight="1" x14ac:dyDescent="0.4">
      <c r="A9" s="69"/>
      <c r="B9" s="48" t="s">
        <v>19</v>
      </c>
      <c r="C9" s="70">
        <v>11.5</v>
      </c>
      <c r="D9" s="70">
        <v>11.5</v>
      </c>
      <c r="E9" s="70">
        <v>11.5</v>
      </c>
      <c r="F9" s="70">
        <v>11.5</v>
      </c>
      <c r="G9" s="70">
        <v>11.5</v>
      </c>
      <c r="H9" s="70">
        <v>11.5</v>
      </c>
      <c r="I9" s="70">
        <v>11.5</v>
      </c>
      <c r="J9" s="70">
        <v>11.5</v>
      </c>
      <c r="K9" s="70">
        <v>11.5</v>
      </c>
      <c r="L9" s="70">
        <v>11.5</v>
      </c>
      <c r="M9" s="70">
        <v>11.5</v>
      </c>
      <c r="N9" s="70">
        <v>11.5</v>
      </c>
      <c r="O9" s="70">
        <v>11.5</v>
      </c>
      <c r="P9" s="70">
        <v>11.5</v>
      </c>
      <c r="Q9" s="70">
        <v>11.5</v>
      </c>
      <c r="R9" s="70">
        <v>11.5</v>
      </c>
      <c r="S9" s="70">
        <v>11.5</v>
      </c>
      <c r="T9" s="70">
        <v>11.5</v>
      </c>
      <c r="U9" s="70">
        <v>11.5</v>
      </c>
      <c r="V9" s="70">
        <v>11.5</v>
      </c>
      <c r="W9" s="70">
        <v>11.5</v>
      </c>
      <c r="X9" s="70">
        <v>11.5</v>
      </c>
      <c r="Y9" s="70">
        <v>11.5</v>
      </c>
      <c r="Z9" s="70">
        <v>11.5</v>
      </c>
      <c r="AA9" s="49">
        <f>SUM(C9:Z9)</f>
        <v>276</v>
      </c>
      <c r="AC9" s="48" t="s">
        <v>20</v>
      </c>
      <c r="AE9" s="48">
        <f>AA10*AE8</f>
        <v>-670.06284023084959</v>
      </c>
    </row>
    <row r="10" spans="1:38" ht="27.75" customHeight="1" x14ac:dyDescent="0.5">
      <c r="A10" s="71"/>
      <c r="B10" s="72" t="s">
        <v>21</v>
      </c>
      <c r="C10" s="73">
        <f t="shared" ref="C10:Z10" si="1">C8-C9</f>
        <v>2.4464285714285712</v>
      </c>
      <c r="D10" s="73">
        <f t="shared" si="1"/>
        <v>-1.5625E-2</v>
      </c>
      <c r="E10" s="73">
        <f t="shared" si="1"/>
        <v>1.5714285714285712</v>
      </c>
      <c r="F10" s="73">
        <f t="shared" si="1"/>
        <v>-2.3390804597701145</v>
      </c>
      <c r="G10" s="73">
        <f t="shared" si="1"/>
        <v>-0.88709677419354804</v>
      </c>
      <c r="H10" s="73">
        <f t="shared" si="1"/>
        <v>0.72413793103448221</v>
      </c>
      <c r="I10" s="73">
        <f t="shared" si="1"/>
        <v>0.9038461538461533</v>
      </c>
      <c r="J10" s="73">
        <f t="shared" si="1"/>
        <v>-3.4888888888888889</v>
      </c>
      <c r="K10" s="73">
        <f t="shared" si="1"/>
        <v>-1.9642857142857135</v>
      </c>
      <c r="L10" s="73">
        <f t="shared" si="1"/>
        <v>0.9827586206896548</v>
      </c>
      <c r="M10" s="73">
        <f t="shared" si="1"/>
        <v>1.193548387096774</v>
      </c>
      <c r="N10" s="73">
        <f t="shared" si="1"/>
        <v>-0.37096774193548399</v>
      </c>
      <c r="O10" s="73">
        <f t="shared" si="1"/>
        <v>-1.3777777777777764</v>
      </c>
      <c r="P10" s="73">
        <f t="shared" si="1"/>
        <v>-6.4285714285714288</v>
      </c>
      <c r="Q10" s="73">
        <f t="shared" si="1"/>
        <v>1.2962962962962958</v>
      </c>
      <c r="R10" s="73">
        <f t="shared" si="1"/>
        <v>-3.833333333333333</v>
      </c>
      <c r="S10" s="73">
        <f t="shared" si="1"/>
        <v>-2.5833333333333339</v>
      </c>
      <c r="T10" s="73">
        <f t="shared" si="1"/>
        <v>-1.5</v>
      </c>
      <c r="U10" s="73">
        <f t="shared" si="1"/>
        <v>0.53225806451612989</v>
      </c>
      <c r="V10" s="73">
        <f t="shared" si="1"/>
        <v>-4.0357142857142856</v>
      </c>
      <c r="W10" s="73">
        <f t="shared" si="1"/>
        <v>-2.9166666666666661</v>
      </c>
      <c r="X10" s="73">
        <f t="shared" si="1"/>
        <v>-1.1428571428571423</v>
      </c>
      <c r="Y10" s="73">
        <f t="shared" si="1"/>
        <v>2.887096774193548</v>
      </c>
      <c r="Z10" s="73">
        <f t="shared" si="1"/>
        <v>0.87931034482758541</v>
      </c>
      <c r="AA10" s="49">
        <f>SUM(C10:Z10)</f>
        <v>-19.467088831969946</v>
      </c>
      <c r="AF10" s="74">
        <f>AD10/175</f>
        <v>0</v>
      </c>
    </row>
    <row r="11" spans="1:38" ht="27.75" customHeight="1" x14ac:dyDescent="0.4"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8" ht="27.75" customHeight="1" x14ac:dyDescent="0.4">
      <c r="C12" s="50">
        <v>2.02</v>
      </c>
      <c r="D12" s="51">
        <v>3.02</v>
      </c>
      <c r="E12" s="51">
        <v>4.0199999999999996</v>
      </c>
      <c r="F12" s="51">
        <v>5.0199999999999996</v>
      </c>
      <c r="G12" s="51">
        <v>6.02</v>
      </c>
      <c r="H12" s="51">
        <v>7.02</v>
      </c>
      <c r="I12" s="51">
        <v>9.02</v>
      </c>
      <c r="J12" s="51">
        <v>10.02</v>
      </c>
      <c r="K12" s="51">
        <v>11.02</v>
      </c>
      <c r="L12" s="51">
        <v>12.02</v>
      </c>
      <c r="M12" s="51">
        <v>13.02</v>
      </c>
      <c r="N12" s="51">
        <v>14.02</v>
      </c>
      <c r="O12" s="51">
        <v>16.02</v>
      </c>
      <c r="P12" s="51">
        <v>17.02</v>
      </c>
      <c r="Q12" s="51">
        <v>18.02</v>
      </c>
      <c r="R12" s="51">
        <v>19.02</v>
      </c>
      <c r="S12" s="51">
        <v>20.02</v>
      </c>
      <c r="T12" s="51">
        <v>21.02</v>
      </c>
      <c r="U12" s="51">
        <v>23.02</v>
      </c>
      <c r="V12" s="75">
        <v>24.02</v>
      </c>
      <c r="W12" s="51">
        <v>25.02</v>
      </c>
      <c r="X12" s="52">
        <v>26.02</v>
      </c>
      <c r="Y12" s="53">
        <v>27.02</v>
      </c>
      <c r="Z12" s="53">
        <v>28.02</v>
      </c>
      <c r="AA12" s="54" t="s">
        <v>1</v>
      </c>
      <c r="AB12" s="55" t="s">
        <v>2</v>
      </c>
      <c r="AC12" s="56" t="s">
        <v>3</v>
      </c>
      <c r="AD12" s="57" t="s">
        <v>4</v>
      </c>
      <c r="AE12" s="57" t="s">
        <v>5</v>
      </c>
      <c r="AF12" s="55" t="s">
        <v>6</v>
      </c>
      <c r="AG12" s="55" t="s">
        <v>7</v>
      </c>
      <c r="AH12" s="58" t="s">
        <v>8</v>
      </c>
      <c r="AI12" s="55" t="s">
        <v>9</v>
      </c>
      <c r="AJ12" s="55" t="s">
        <v>10</v>
      </c>
      <c r="AK12" s="59" t="s">
        <v>11</v>
      </c>
      <c r="AL12" s="55" t="s">
        <v>12</v>
      </c>
    </row>
    <row r="13" spans="1:38" ht="45.75" customHeight="1" x14ac:dyDescent="0.6">
      <c r="A13" s="76">
        <v>2</v>
      </c>
      <c r="B13" s="77" t="s">
        <v>22</v>
      </c>
      <c r="C13" s="78">
        <v>195.25</v>
      </c>
      <c r="D13" s="62">
        <v>183.75</v>
      </c>
      <c r="E13" s="63">
        <v>183</v>
      </c>
      <c r="F13" s="62">
        <v>132.83333333333329</v>
      </c>
      <c r="G13" s="62">
        <v>164.5</v>
      </c>
      <c r="H13" s="62">
        <v>177.25</v>
      </c>
      <c r="I13" s="62">
        <v>161.25</v>
      </c>
      <c r="J13" s="62">
        <v>120.1666666666667</v>
      </c>
      <c r="K13" s="62">
        <v>133.5</v>
      </c>
      <c r="L13" s="62">
        <v>181</v>
      </c>
      <c r="M13" s="62">
        <v>196.75</v>
      </c>
      <c r="N13" s="62">
        <v>172.5</v>
      </c>
      <c r="O13" s="62">
        <v>151.83333333333329</v>
      </c>
      <c r="P13" s="62">
        <v>71</v>
      </c>
      <c r="Q13" s="62">
        <v>172.75</v>
      </c>
      <c r="R13" s="62">
        <v>115</v>
      </c>
      <c r="S13" s="62">
        <v>107</v>
      </c>
      <c r="T13" s="62">
        <v>140</v>
      </c>
      <c r="U13" s="62">
        <v>186.5</v>
      </c>
      <c r="V13" s="79">
        <v>0</v>
      </c>
      <c r="W13" s="62">
        <v>103</v>
      </c>
      <c r="X13" s="62">
        <v>145</v>
      </c>
      <c r="Y13" s="62">
        <v>223</v>
      </c>
      <c r="Z13" s="62">
        <v>179.5</v>
      </c>
      <c r="AA13" s="64">
        <f>SUM(C13:Z13)</f>
        <v>3596.3333333333335</v>
      </c>
      <c r="AB13" s="65">
        <v>23</v>
      </c>
      <c r="AC13" s="65">
        <f>AB13*166</f>
        <v>3818</v>
      </c>
      <c r="AD13" s="65">
        <f>AA13-AC13</f>
        <v>-221.66666666666652</v>
      </c>
      <c r="AE13" s="65">
        <v>24</v>
      </c>
      <c r="AF13" s="65">
        <f>AD13/175</f>
        <v>-1.2666666666666657</v>
      </c>
      <c r="AG13" s="65">
        <f>AI13/AE13</f>
        <v>262.5</v>
      </c>
      <c r="AH13" s="66">
        <f>AG13*AF13</f>
        <v>-332.49999999999977</v>
      </c>
      <c r="AI13" s="65">
        <v>6300</v>
      </c>
      <c r="AJ13" s="67">
        <f>AI13+AH13</f>
        <v>5967.5</v>
      </c>
      <c r="AK13" s="77" t="s">
        <v>22</v>
      </c>
      <c r="AL13" s="68"/>
    </row>
    <row r="14" spans="1:38" ht="27.75" customHeight="1" x14ac:dyDescent="0.4">
      <c r="A14" s="69"/>
      <c r="B14" s="48" t="s">
        <v>16</v>
      </c>
      <c r="C14" s="70">
        <v>14</v>
      </c>
      <c r="D14" s="70">
        <v>16</v>
      </c>
      <c r="E14" s="70">
        <v>14</v>
      </c>
      <c r="F14" s="70">
        <v>14.5</v>
      </c>
      <c r="G14" s="70">
        <v>15.5</v>
      </c>
      <c r="H14" s="70">
        <v>14.5</v>
      </c>
      <c r="I14" s="70">
        <v>13</v>
      </c>
      <c r="J14" s="70">
        <v>15</v>
      </c>
      <c r="K14" s="70">
        <v>14</v>
      </c>
      <c r="L14" s="70">
        <v>14.5</v>
      </c>
      <c r="M14" s="70">
        <v>15.5</v>
      </c>
      <c r="N14" s="70">
        <v>15.5</v>
      </c>
      <c r="O14" s="70">
        <v>15</v>
      </c>
      <c r="P14" s="70">
        <v>14</v>
      </c>
      <c r="Q14" s="70">
        <v>13.5</v>
      </c>
      <c r="R14" s="70">
        <v>15</v>
      </c>
      <c r="S14" s="70">
        <v>12</v>
      </c>
      <c r="T14" s="70">
        <v>14</v>
      </c>
      <c r="U14" s="70">
        <v>15.5</v>
      </c>
      <c r="V14" s="80">
        <v>14</v>
      </c>
      <c r="W14" s="70">
        <v>12</v>
      </c>
      <c r="X14" s="70">
        <v>14</v>
      </c>
      <c r="Y14" s="70">
        <v>15.5</v>
      </c>
      <c r="Z14" s="70">
        <v>14.5</v>
      </c>
    </row>
    <row r="15" spans="1:38" ht="27.75" customHeight="1" x14ac:dyDescent="0.4">
      <c r="A15" s="69"/>
      <c r="B15" s="48" t="s">
        <v>17</v>
      </c>
      <c r="C15" s="70">
        <v>13.946428571428569</v>
      </c>
      <c r="D15" s="70">
        <v>11.484375</v>
      </c>
      <c r="E15" s="70">
        <v>13.071428571428569</v>
      </c>
      <c r="F15" s="70">
        <v>9.1609195402298855</v>
      </c>
      <c r="G15" s="70">
        <v>10.61290322580645</v>
      </c>
      <c r="H15" s="70">
        <v>12.22413793103448</v>
      </c>
      <c r="I15" s="70">
        <v>12.40384615384615</v>
      </c>
      <c r="J15" s="70">
        <v>8.0111111111111111</v>
      </c>
      <c r="K15" s="70">
        <v>9.5357142857142865</v>
      </c>
      <c r="L15" s="70">
        <v>12.482758620689649</v>
      </c>
      <c r="M15" s="70">
        <v>12.69354838709677</v>
      </c>
      <c r="N15" s="70">
        <v>11.12903225806452</v>
      </c>
      <c r="O15" s="70">
        <v>10.12222222222222</v>
      </c>
      <c r="P15" s="70">
        <v>5.0714285714285712</v>
      </c>
      <c r="Q15" s="70">
        <v>12.796296296296299</v>
      </c>
      <c r="R15" s="70">
        <v>7.666666666666667</v>
      </c>
      <c r="S15" s="70">
        <v>8.9166666666666661</v>
      </c>
      <c r="T15" s="70">
        <v>10</v>
      </c>
      <c r="U15" s="70">
        <v>12.03225806451613</v>
      </c>
      <c r="V15" s="80">
        <v>0</v>
      </c>
      <c r="W15" s="70">
        <v>8.5833333333333339</v>
      </c>
      <c r="X15" s="70">
        <v>10.357142857142859</v>
      </c>
      <c r="Y15" s="70">
        <v>14.38709677419355</v>
      </c>
      <c r="Z15" s="70">
        <v>12.379310344827591</v>
      </c>
      <c r="AA15" s="49">
        <f>SUM(C15:Z15)</f>
        <v>249.06862545374432</v>
      </c>
      <c r="AC15" s="48" t="s">
        <v>18</v>
      </c>
      <c r="AE15" s="48">
        <f>AG13/11.429</f>
        <v>22.967888704173593</v>
      </c>
    </row>
    <row r="16" spans="1:38" ht="27.75" customHeight="1" x14ac:dyDescent="0.4">
      <c r="A16" s="69"/>
      <c r="B16" s="48" t="s">
        <v>19</v>
      </c>
      <c r="C16" s="70">
        <v>11.5</v>
      </c>
      <c r="D16" s="70">
        <v>11.5</v>
      </c>
      <c r="E16" s="70">
        <v>11.5</v>
      </c>
      <c r="F16" s="70">
        <v>11.5</v>
      </c>
      <c r="G16" s="70">
        <v>11.5</v>
      </c>
      <c r="H16" s="70">
        <v>11.5</v>
      </c>
      <c r="I16" s="70">
        <v>11.5</v>
      </c>
      <c r="J16" s="70">
        <v>11.5</v>
      </c>
      <c r="K16" s="70">
        <v>11.5</v>
      </c>
      <c r="L16" s="70">
        <v>11.5</v>
      </c>
      <c r="M16" s="70">
        <v>11.5</v>
      </c>
      <c r="N16" s="70">
        <v>11.5</v>
      </c>
      <c r="O16" s="70">
        <v>11.5</v>
      </c>
      <c r="P16" s="70">
        <v>11.5</v>
      </c>
      <c r="Q16" s="70">
        <v>11.5</v>
      </c>
      <c r="R16" s="70">
        <v>11.5</v>
      </c>
      <c r="S16" s="70">
        <v>11.5</v>
      </c>
      <c r="T16" s="70">
        <v>11.5</v>
      </c>
      <c r="U16" s="70">
        <v>11.5</v>
      </c>
      <c r="V16" s="80">
        <v>0</v>
      </c>
      <c r="W16" s="70">
        <v>11.5</v>
      </c>
      <c r="X16" s="70">
        <v>11.5</v>
      </c>
      <c r="Y16" s="70">
        <v>11.5</v>
      </c>
      <c r="Z16" s="70">
        <v>11.5</v>
      </c>
      <c r="AA16" s="49">
        <f>SUM(C16:Z16)</f>
        <v>264.5</v>
      </c>
      <c r="AC16" s="48" t="s">
        <v>20</v>
      </c>
      <c r="AE16" s="48">
        <f>AA17*AE15</f>
        <v>-90.295373032821061</v>
      </c>
    </row>
    <row r="17" spans="1:38" ht="27.75" customHeight="1" x14ac:dyDescent="0.4">
      <c r="A17" s="71"/>
      <c r="B17" s="72" t="s">
        <v>21</v>
      </c>
      <c r="C17" s="73">
        <v>2.4464285714285712</v>
      </c>
      <c r="D17" s="73">
        <v>-1.5625E-2</v>
      </c>
      <c r="E17" s="73">
        <v>1.571428571428571</v>
      </c>
      <c r="F17" s="73">
        <v>-2.339080459770114</v>
      </c>
      <c r="G17" s="73">
        <v>10.61290322580645</v>
      </c>
      <c r="H17" s="73">
        <v>0.72413793103448221</v>
      </c>
      <c r="I17" s="73">
        <v>0.9038461538461533</v>
      </c>
      <c r="J17" s="73">
        <v>-3.4888888888888889</v>
      </c>
      <c r="K17" s="73">
        <v>-1.964285714285714</v>
      </c>
      <c r="L17" s="73">
        <v>0.9827586206896548</v>
      </c>
      <c r="M17" s="73">
        <v>1.193548387096774</v>
      </c>
      <c r="N17" s="73">
        <v>-0.37096774193548399</v>
      </c>
      <c r="O17" s="73">
        <v>-1.377777777777776</v>
      </c>
      <c r="P17" s="73">
        <v>-6.4285714285714288</v>
      </c>
      <c r="Q17" s="73">
        <v>1.2962962962962961</v>
      </c>
      <c r="R17" s="73">
        <v>-3.833333333333333</v>
      </c>
      <c r="S17" s="73">
        <v>-2.5833333333333339</v>
      </c>
      <c r="T17" s="73">
        <v>-1.5</v>
      </c>
      <c r="U17" s="73">
        <v>0.53225806451612989</v>
      </c>
      <c r="V17" s="81">
        <v>0</v>
      </c>
      <c r="W17" s="73">
        <v>-2.9166666666666661</v>
      </c>
      <c r="X17" s="73">
        <v>-1.1428571428571419</v>
      </c>
      <c r="Y17" s="73">
        <v>2.887096774193548</v>
      </c>
      <c r="Z17" s="73">
        <v>0.87931034482758541</v>
      </c>
      <c r="AA17" s="49">
        <f>SUM(C17:Z17)</f>
        <v>-3.9313745462556646</v>
      </c>
    </row>
    <row r="18" spans="1:38" ht="27.75" customHeight="1" x14ac:dyDescent="0.4"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38" ht="27.75" customHeight="1" x14ac:dyDescent="0.4"/>
    <row r="20" spans="1:38" ht="27.75" customHeight="1" x14ac:dyDescent="0.4">
      <c r="B20" s="48" t="s">
        <v>23</v>
      </c>
      <c r="C20" s="50">
        <v>2.02</v>
      </c>
      <c r="D20" s="51">
        <v>3.02</v>
      </c>
      <c r="E20" s="75">
        <v>4.0199999999999996</v>
      </c>
      <c r="F20" s="51">
        <v>5.0199999999999996</v>
      </c>
      <c r="G20" s="51">
        <v>6.02</v>
      </c>
      <c r="H20" s="51">
        <v>7.02</v>
      </c>
      <c r="I20" s="51">
        <v>9.02</v>
      </c>
      <c r="J20" s="51">
        <v>10.02</v>
      </c>
      <c r="K20" s="51">
        <v>11.02</v>
      </c>
      <c r="L20" s="51">
        <v>12.02</v>
      </c>
      <c r="M20" s="51">
        <v>13.02</v>
      </c>
      <c r="N20" s="75">
        <v>14.02</v>
      </c>
      <c r="O20" s="51">
        <v>16.02</v>
      </c>
      <c r="P20" s="51">
        <v>17.02</v>
      </c>
      <c r="Q20" s="51">
        <v>18.02</v>
      </c>
      <c r="R20" s="51">
        <v>19.02</v>
      </c>
      <c r="S20" s="51">
        <v>20.02</v>
      </c>
      <c r="T20" s="51">
        <v>21.02</v>
      </c>
      <c r="U20" s="51">
        <v>23.02</v>
      </c>
      <c r="V20" s="51">
        <v>24.02</v>
      </c>
      <c r="W20" s="75">
        <v>25.02</v>
      </c>
      <c r="X20" s="82">
        <v>26.02</v>
      </c>
      <c r="Y20" s="53">
        <v>27.02</v>
      </c>
      <c r="Z20" s="53">
        <v>28.02</v>
      </c>
      <c r="AA20" s="54" t="s">
        <v>1</v>
      </c>
      <c r="AB20" s="55" t="s">
        <v>2</v>
      </c>
      <c r="AC20" s="56" t="s">
        <v>3</v>
      </c>
      <c r="AD20" s="57" t="s">
        <v>4</v>
      </c>
      <c r="AE20" s="57" t="s">
        <v>5</v>
      </c>
      <c r="AF20" s="55" t="s">
        <v>6</v>
      </c>
      <c r="AG20" s="55" t="s">
        <v>7</v>
      </c>
      <c r="AH20" s="58" t="s">
        <v>8</v>
      </c>
      <c r="AI20" s="55" t="s">
        <v>9</v>
      </c>
      <c r="AJ20" s="55" t="s">
        <v>10</v>
      </c>
      <c r="AK20" s="59" t="s">
        <v>11</v>
      </c>
      <c r="AL20" s="55" t="s">
        <v>12</v>
      </c>
    </row>
    <row r="21" spans="1:38" ht="48" customHeight="1" x14ac:dyDescent="0.6">
      <c r="A21" s="60">
        <v>3</v>
      </c>
      <c r="B21" s="61" t="s">
        <v>24</v>
      </c>
      <c r="C21" s="62">
        <v>195.25</v>
      </c>
      <c r="D21" s="62">
        <v>183.75</v>
      </c>
      <c r="E21" s="83">
        <v>0</v>
      </c>
      <c r="F21" s="62">
        <v>132.83333333333329</v>
      </c>
      <c r="G21" s="62">
        <v>164.5</v>
      </c>
      <c r="H21" s="62">
        <v>177.25</v>
      </c>
      <c r="I21" s="62">
        <v>161.25</v>
      </c>
      <c r="J21" s="62">
        <v>120.1666666666667</v>
      </c>
      <c r="K21" s="62">
        <v>133.5</v>
      </c>
      <c r="L21" s="62">
        <v>181</v>
      </c>
      <c r="M21" s="62">
        <v>196.75</v>
      </c>
      <c r="N21" s="79">
        <v>0</v>
      </c>
      <c r="O21" s="62">
        <v>151.83333333333329</v>
      </c>
      <c r="P21" s="62">
        <v>71</v>
      </c>
      <c r="Q21" s="62">
        <v>172.75</v>
      </c>
      <c r="R21" s="62">
        <v>115</v>
      </c>
      <c r="S21" s="62">
        <v>107</v>
      </c>
      <c r="T21" s="62">
        <v>140</v>
      </c>
      <c r="U21" s="62">
        <v>186.5</v>
      </c>
      <c r="V21" s="62">
        <v>104.5</v>
      </c>
      <c r="W21" s="79">
        <v>0</v>
      </c>
      <c r="X21" s="79">
        <v>0</v>
      </c>
      <c r="Y21" s="62">
        <v>223</v>
      </c>
      <c r="Z21" s="62">
        <v>179.5</v>
      </c>
      <c r="AA21" s="64">
        <f>SUM(C21:Z21)</f>
        <v>3097.333333333333</v>
      </c>
      <c r="AB21" s="65">
        <v>20</v>
      </c>
      <c r="AC21" s="65">
        <f>AB21*166</f>
        <v>3320</v>
      </c>
      <c r="AD21" s="65">
        <f>AA21-AC21</f>
        <v>-222.66666666666697</v>
      </c>
      <c r="AE21" s="65">
        <v>24</v>
      </c>
      <c r="AF21" s="65">
        <f>AD21/175</f>
        <v>-1.2723809523809542</v>
      </c>
      <c r="AG21" s="65">
        <f>AI21/AE21</f>
        <v>395.83333333333331</v>
      </c>
      <c r="AH21" s="66">
        <f>AG21*AF21</f>
        <v>-503.65079365079436</v>
      </c>
      <c r="AI21" s="65">
        <v>9500</v>
      </c>
      <c r="AJ21" s="67">
        <f>AI21+AH21</f>
        <v>8996.3492063492049</v>
      </c>
      <c r="AK21" s="61" t="s">
        <v>24</v>
      </c>
      <c r="AL21" s="84"/>
    </row>
    <row r="22" spans="1:38" ht="27.75" customHeight="1" x14ac:dyDescent="0.4">
      <c r="A22" s="69"/>
      <c r="B22" s="49"/>
      <c r="C22" s="70">
        <v>14</v>
      </c>
      <c r="D22" s="70">
        <v>16</v>
      </c>
      <c r="E22" s="80">
        <v>14</v>
      </c>
      <c r="F22" s="70">
        <v>14.5</v>
      </c>
      <c r="G22" s="70">
        <v>15.5</v>
      </c>
      <c r="H22" s="70">
        <v>14.5</v>
      </c>
      <c r="I22" s="70">
        <v>13</v>
      </c>
      <c r="J22" s="70">
        <v>15</v>
      </c>
      <c r="K22" s="70">
        <v>14</v>
      </c>
      <c r="L22" s="70">
        <v>14.5</v>
      </c>
      <c r="M22" s="70">
        <v>15.5</v>
      </c>
      <c r="N22" s="80">
        <v>15.5</v>
      </c>
      <c r="O22" s="70">
        <v>15</v>
      </c>
      <c r="P22" s="70">
        <v>14</v>
      </c>
      <c r="Q22" s="70">
        <v>13.5</v>
      </c>
      <c r="R22" s="70">
        <v>15</v>
      </c>
      <c r="S22" s="70">
        <v>12</v>
      </c>
      <c r="T22" s="70">
        <v>14</v>
      </c>
      <c r="U22" s="70">
        <v>15.5</v>
      </c>
      <c r="V22" s="70">
        <v>14</v>
      </c>
      <c r="W22" s="80">
        <v>12</v>
      </c>
      <c r="X22" s="80">
        <v>14</v>
      </c>
      <c r="Y22" s="70">
        <v>15.5</v>
      </c>
      <c r="Z22" s="70">
        <v>14.5</v>
      </c>
    </row>
    <row r="23" spans="1:38" ht="27.75" customHeight="1" x14ac:dyDescent="0.4">
      <c r="A23" s="69"/>
      <c r="B23" s="49" t="s">
        <v>17</v>
      </c>
      <c r="C23" s="70">
        <v>13.946428571428569</v>
      </c>
      <c r="D23" s="70">
        <v>11.484375</v>
      </c>
      <c r="E23" s="80">
        <v>0</v>
      </c>
      <c r="F23" s="70">
        <v>9.1609195402298855</v>
      </c>
      <c r="G23" s="70">
        <v>10.61290322580645</v>
      </c>
      <c r="H23" s="70">
        <v>12.22413793103448</v>
      </c>
      <c r="I23" s="70">
        <v>12.40384615384615</v>
      </c>
      <c r="J23" s="70">
        <v>8.0111111111111111</v>
      </c>
      <c r="K23" s="70">
        <v>9.5357142857142865</v>
      </c>
      <c r="L23" s="70">
        <v>12.482758620689649</v>
      </c>
      <c r="M23" s="70">
        <v>12.69354838709677</v>
      </c>
      <c r="N23" s="80">
        <v>0</v>
      </c>
      <c r="O23" s="70">
        <v>10.12222222222222</v>
      </c>
      <c r="P23" s="70">
        <v>5.0714285714285712</v>
      </c>
      <c r="Q23" s="70">
        <v>12.796296296296299</v>
      </c>
      <c r="R23" s="70">
        <v>7.666666666666667</v>
      </c>
      <c r="S23" s="70">
        <v>8.9166666666666661</v>
      </c>
      <c r="T23" s="70">
        <v>10</v>
      </c>
      <c r="U23" s="70">
        <v>12.03225806451613</v>
      </c>
      <c r="V23" s="70">
        <v>7.4642857142857144</v>
      </c>
      <c r="W23" s="80">
        <v>0</v>
      </c>
      <c r="X23" s="80">
        <v>0</v>
      </c>
      <c r="Y23" s="70">
        <v>14.38709677419355</v>
      </c>
      <c r="Z23" s="70">
        <v>12.379310344827591</v>
      </c>
      <c r="AA23" s="49">
        <f>SUM(C23:Z23)</f>
        <v>213.39197414806071</v>
      </c>
      <c r="AC23" s="48" t="s">
        <v>18</v>
      </c>
      <c r="AE23" s="48">
        <f>AG21/11.5</f>
        <v>34.420289855072461</v>
      </c>
    </row>
    <row r="24" spans="1:38" ht="27.75" customHeight="1" x14ac:dyDescent="0.4">
      <c r="A24" s="69"/>
      <c r="B24" s="49" t="s">
        <v>19</v>
      </c>
      <c r="C24" s="70">
        <v>11.5</v>
      </c>
      <c r="D24" s="70">
        <v>11.5</v>
      </c>
      <c r="E24" s="80">
        <v>0</v>
      </c>
      <c r="F24" s="70">
        <v>11.5</v>
      </c>
      <c r="G24" s="70">
        <v>11.5</v>
      </c>
      <c r="H24" s="70">
        <v>11.5</v>
      </c>
      <c r="I24" s="70">
        <v>11.5</v>
      </c>
      <c r="J24" s="70">
        <v>11.5</v>
      </c>
      <c r="K24" s="70">
        <v>11.5</v>
      </c>
      <c r="L24" s="70">
        <v>11.5</v>
      </c>
      <c r="M24" s="70">
        <v>11.5</v>
      </c>
      <c r="N24" s="80">
        <v>0</v>
      </c>
      <c r="O24" s="70">
        <v>11.5</v>
      </c>
      <c r="P24" s="70">
        <v>11.5</v>
      </c>
      <c r="Q24" s="70">
        <v>11.5</v>
      </c>
      <c r="R24" s="70">
        <v>11.5</v>
      </c>
      <c r="S24" s="70">
        <v>11.5</v>
      </c>
      <c r="T24" s="70">
        <v>11.5</v>
      </c>
      <c r="U24" s="70">
        <v>11.5</v>
      </c>
      <c r="V24" s="70">
        <v>11.5</v>
      </c>
      <c r="W24" s="80">
        <v>0</v>
      </c>
      <c r="X24" s="80">
        <v>0</v>
      </c>
      <c r="Y24" s="70">
        <v>11.5</v>
      </c>
      <c r="Z24" s="70">
        <v>11.5</v>
      </c>
      <c r="AA24" s="49">
        <f>SUM(C24:Z24)</f>
        <v>230</v>
      </c>
      <c r="AC24" s="48" t="s">
        <v>20</v>
      </c>
      <c r="AE24" s="48">
        <f>AA25*AE23</f>
        <v>-175.81973041095173</v>
      </c>
    </row>
    <row r="25" spans="1:38" ht="27.75" customHeight="1" x14ac:dyDescent="0.4">
      <c r="A25" s="71"/>
      <c r="B25" s="85" t="s">
        <v>21</v>
      </c>
      <c r="C25" s="73">
        <v>2.4464285714285712</v>
      </c>
      <c r="D25" s="73">
        <v>-1.5625E-2</v>
      </c>
      <c r="E25" s="81">
        <v>0</v>
      </c>
      <c r="F25" s="73">
        <v>-2.339080459770114</v>
      </c>
      <c r="G25" s="73">
        <v>10.61290322580645</v>
      </c>
      <c r="H25" s="73">
        <v>0.72413793103448221</v>
      </c>
      <c r="I25" s="73">
        <v>0.9038461538461533</v>
      </c>
      <c r="J25" s="73">
        <v>-3.4888888888888889</v>
      </c>
      <c r="K25" s="73">
        <v>-1.964285714285714</v>
      </c>
      <c r="L25" s="73">
        <v>0.9827586206896548</v>
      </c>
      <c r="M25" s="73">
        <v>1.193548387096774</v>
      </c>
      <c r="N25" s="81">
        <v>0</v>
      </c>
      <c r="O25" s="73">
        <v>-1.377777777777776</v>
      </c>
      <c r="P25" s="73">
        <v>-6.4285714285714288</v>
      </c>
      <c r="Q25" s="73">
        <v>1.2962962962962961</v>
      </c>
      <c r="R25" s="73">
        <v>-3.833333333333333</v>
      </c>
      <c r="S25" s="73">
        <v>-2.5833333333333339</v>
      </c>
      <c r="T25" s="73">
        <v>-1.5</v>
      </c>
      <c r="U25" s="73">
        <v>0.53225806451612989</v>
      </c>
      <c r="V25" s="73">
        <v>-4.0357142857142856</v>
      </c>
      <c r="W25" s="81">
        <v>0</v>
      </c>
      <c r="X25" s="81">
        <v>0</v>
      </c>
      <c r="Y25" s="73">
        <v>2.887096774193548</v>
      </c>
      <c r="Z25" s="73">
        <v>0.87931034482758541</v>
      </c>
      <c r="AA25" s="49">
        <f>SUM(C25:Z25)</f>
        <v>-5.1080258519392299</v>
      </c>
      <c r="AH25" s="48">
        <f>25*160</f>
        <v>4000</v>
      </c>
    </row>
    <row r="26" spans="1:38" ht="27.75" customHeight="1" x14ac:dyDescent="0.4"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38" ht="27.75" customHeight="1" x14ac:dyDescent="0.4">
      <c r="B27" s="48" t="s">
        <v>26</v>
      </c>
      <c r="C27" s="50">
        <v>2.02</v>
      </c>
      <c r="D27" s="51">
        <v>3.02</v>
      </c>
      <c r="E27" s="51">
        <v>4.0199999999999996</v>
      </c>
      <c r="F27" s="51">
        <v>5.0199999999999996</v>
      </c>
      <c r="G27" s="51">
        <v>6.02</v>
      </c>
      <c r="H27" s="51">
        <v>7.02</v>
      </c>
      <c r="I27" s="75">
        <v>9.02</v>
      </c>
      <c r="J27" s="51">
        <v>10.02</v>
      </c>
      <c r="K27" s="51">
        <v>11.02</v>
      </c>
      <c r="L27" s="75">
        <v>12.02</v>
      </c>
      <c r="M27" s="51">
        <v>13.02</v>
      </c>
      <c r="N27" s="51">
        <v>14.02</v>
      </c>
      <c r="O27" s="51">
        <v>16.02</v>
      </c>
      <c r="P27" s="51">
        <v>17.02</v>
      </c>
      <c r="Q27" s="75">
        <v>18.02</v>
      </c>
      <c r="R27" s="51">
        <v>19.02</v>
      </c>
      <c r="S27" s="51">
        <v>20.02</v>
      </c>
      <c r="T27" s="51">
        <v>21.02</v>
      </c>
      <c r="U27" s="51">
        <v>23.02</v>
      </c>
      <c r="V27" s="51">
        <v>24.02</v>
      </c>
      <c r="W27" s="51">
        <v>25.02</v>
      </c>
      <c r="X27" s="82">
        <v>26.02</v>
      </c>
      <c r="Y27" s="53">
        <v>27.02</v>
      </c>
      <c r="Z27" s="86">
        <v>28.02</v>
      </c>
      <c r="AA27" s="54" t="s">
        <v>1</v>
      </c>
      <c r="AB27" s="55" t="s">
        <v>2</v>
      </c>
      <c r="AC27" s="56" t="s">
        <v>3</v>
      </c>
      <c r="AD27" s="57" t="s">
        <v>4</v>
      </c>
      <c r="AE27" s="57" t="s">
        <v>5</v>
      </c>
      <c r="AF27" s="55" t="s">
        <v>6</v>
      </c>
      <c r="AG27" s="55" t="s">
        <v>7</v>
      </c>
      <c r="AH27" s="58" t="s">
        <v>8</v>
      </c>
      <c r="AI27" s="55" t="s">
        <v>9</v>
      </c>
      <c r="AJ27" s="55" t="s">
        <v>10</v>
      </c>
      <c r="AK27" s="59" t="s">
        <v>11</v>
      </c>
      <c r="AL27" s="55" t="s">
        <v>12</v>
      </c>
    </row>
    <row r="28" spans="1:38" ht="44.25" customHeight="1" x14ac:dyDescent="0.6">
      <c r="A28" s="60">
        <v>4</v>
      </c>
      <c r="B28" s="61" t="s">
        <v>27</v>
      </c>
      <c r="C28" s="62">
        <v>195.25</v>
      </c>
      <c r="D28" s="62">
        <v>183.75</v>
      </c>
      <c r="E28" s="63">
        <v>183</v>
      </c>
      <c r="F28" s="62">
        <v>132.83333333333329</v>
      </c>
      <c r="G28" s="62">
        <v>164.5</v>
      </c>
      <c r="H28" s="62">
        <v>177.25</v>
      </c>
      <c r="I28" s="79">
        <v>0</v>
      </c>
      <c r="J28" s="62">
        <v>120.1666666666667</v>
      </c>
      <c r="K28" s="62">
        <v>133.5</v>
      </c>
      <c r="L28" s="79">
        <v>0</v>
      </c>
      <c r="M28" s="62">
        <v>196.75</v>
      </c>
      <c r="N28" s="62">
        <v>172.5</v>
      </c>
      <c r="O28" s="62">
        <v>151.83333333333329</v>
      </c>
      <c r="P28" s="62">
        <v>71</v>
      </c>
      <c r="Q28" s="79">
        <v>0</v>
      </c>
      <c r="R28" s="62">
        <v>115</v>
      </c>
      <c r="S28" s="62">
        <v>107</v>
      </c>
      <c r="T28" s="62">
        <v>140</v>
      </c>
      <c r="U28" s="62">
        <v>186.5</v>
      </c>
      <c r="V28" s="62">
        <v>104.5</v>
      </c>
      <c r="W28" s="62">
        <v>103</v>
      </c>
      <c r="X28" s="79">
        <v>0</v>
      </c>
      <c r="Y28" s="62">
        <v>223</v>
      </c>
      <c r="Z28" s="79">
        <v>0</v>
      </c>
      <c r="AA28" s="64">
        <f>SUM(C28:Z28)</f>
        <v>2861.333333333333</v>
      </c>
      <c r="AB28" s="65">
        <v>19</v>
      </c>
      <c r="AC28" s="65">
        <f>AB28*166</f>
        <v>3154</v>
      </c>
      <c r="AD28" s="65">
        <f>AA28-AC28</f>
        <v>-292.66666666666697</v>
      </c>
      <c r="AE28" s="65">
        <v>24</v>
      </c>
      <c r="AF28" s="65">
        <f>AD28/175</f>
        <v>-1.6723809523809541</v>
      </c>
      <c r="AG28" s="65">
        <f>AI28/AE28</f>
        <v>312.5</v>
      </c>
      <c r="AH28" s="66">
        <f>AG28*AF28</f>
        <v>-522.61904761904816</v>
      </c>
      <c r="AI28" s="65">
        <v>7500</v>
      </c>
      <c r="AJ28" s="67">
        <f>AI28+AH28</f>
        <v>6977.3809523809523</v>
      </c>
      <c r="AK28" s="61" t="s">
        <v>27</v>
      </c>
      <c r="AL28" s="68">
        <v>-250</v>
      </c>
    </row>
    <row r="29" spans="1:38" ht="27.75" customHeight="1" x14ac:dyDescent="0.4">
      <c r="A29" s="69"/>
      <c r="B29" s="48" t="s">
        <v>16</v>
      </c>
      <c r="C29" s="70">
        <v>14</v>
      </c>
      <c r="D29" s="70">
        <v>16</v>
      </c>
      <c r="E29" s="70">
        <v>14</v>
      </c>
      <c r="F29" s="70">
        <v>14.5</v>
      </c>
      <c r="G29" s="70">
        <v>15.5</v>
      </c>
      <c r="H29" s="70">
        <v>14.5</v>
      </c>
      <c r="I29" s="80">
        <v>13</v>
      </c>
      <c r="J29" s="70">
        <v>15</v>
      </c>
      <c r="K29" s="70">
        <v>14</v>
      </c>
      <c r="L29" s="80">
        <v>14.5</v>
      </c>
      <c r="M29" s="70">
        <v>15.5</v>
      </c>
      <c r="N29" s="70">
        <v>15.5</v>
      </c>
      <c r="O29" s="70">
        <v>15</v>
      </c>
      <c r="P29" s="70">
        <v>14</v>
      </c>
      <c r="Q29" s="80">
        <v>13.5</v>
      </c>
      <c r="R29" s="70">
        <v>15</v>
      </c>
      <c r="S29" s="70">
        <v>12</v>
      </c>
      <c r="T29" s="70">
        <v>14</v>
      </c>
      <c r="U29" s="70">
        <v>15.5</v>
      </c>
      <c r="V29" s="70">
        <v>14</v>
      </c>
      <c r="W29" s="70">
        <v>12</v>
      </c>
      <c r="X29" s="80">
        <v>14</v>
      </c>
      <c r="Y29" s="70">
        <v>15.5</v>
      </c>
      <c r="Z29" s="80">
        <v>14.5</v>
      </c>
    </row>
    <row r="30" spans="1:38" ht="27.75" customHeight="1" x14ac:dyDescent="0.4">
      <c r="A30" s="69"/>
      <c r="B30" s="48" t="s">
        <v>17</v>
      </c>
      <c r="C30" s="70">
        <v>13.946428571428569</v>
      </c>
      <c r="D30" s="70">
        <v>11.484375</v>
      </c>
      <c r="E30" s="70">
        <v>13.071428571428569</v>
      </c>
      <c r="F30" s="70">
        <v>9.1609195402298855</v>
      </c>
      <c r="G30" s="70">
        <v>10.61290322580645</v>
      </c>
      <c r="H30" s="70">
        <v>12.22413793103448</v>
      </c>
      <c r="I30" s="80">
        <v>0</v>
      </c>
      <c r="J30" s="70">
        <v>8.0111111111111111</v>
      </c>
      <c r="K30" s="70">
        <v>9.5357142857142865</v>
      </c>
      <c r="L30" s="80">
        <v>0</v>
      </c>
      <c r="M30" s="70">
        <v>12.69354838709677</v>
      </c>
      <c r="N30" s="70">
        <v>11.12903225806452</v>
      </c>
      <c r="O30" s="70">
        <v>10.12222222222222</v>
      </c>
      <c r="P30" s="70">
        <v>5.0714285714285712</v>
      </c>
      <c r="Q30" s="80">
        <v>0</v>
      </c>
      <c r="R30" s="70">
        <v>7.666666666666667</v>
      </c>
      <c r="S30" s="70">
        <v>8.9166666666666661</v>
      </c>
      <c r="T30" s="70">
        <v>10</v>
      </c>
      <c r="U30" s="70">
        <v>12.03225806451613</v>
      </c>
      <c r="V30" s="70">
        <v>7.4642857142857144</v>
      </c>
      <c r="W30" s="70">
        <v>8.5833333333333339</v>
      </c>
      <c r="X30" s="80">
        <v>0</v>
      </c>
      <c r="Y30" s="70">
        <v>14.38709677419355</v>
      </c>
      <c r="Z30" s="80">
        <v>0</v>
      </c>
      <c r="AA30" s="49">
        <f>SUM(C30:Z30)</f>
        <v>196.11355689522748</v>
      </c>
      <c r="AC30" s="48" t="s">
        <v>18</v>
      </c>
      <c r="AE30" s="48">
        <f>AG28/11.5</f>
        <v>27.173913043478262</v>
      </c>
    </row>
    <row r="31" spans="1:38" ht="27.75" customHeight="1" x14ac:dyDescent="0.4">
      <c r="A31" s="69"/>
      <c r="B31" s="48" t="s">
        <v>19</v>
      </c>
      <c r="C31" s="70">
        <v>11.5</v>
      </c>
      <c r="D31" s="70">
        <v>11.5</v>
      </c>
      <c r="E31" s="70">
        <v>11.5</v>
      </c>
      <c r="F31" s="70">
        <v>11.5</v>
      </c>
      <c r="G31" s="70">
        <v>11.5</v>
      </c>
      <c r="H31" s="70">
        <v>11.5</v>
      </c>
      <c r="I31" s="80">
        <v>0</v>
      </c>
      <c r="J31" s="70">
        <v>11.5</v>
      </c>
      <c r="K31" s="70">
        <v>11.5</v>
      </c>
      <c r="L31" s="80">
        <v>0</v>
      </c>
      <c r="M31" s="70">
        <v>11.5</v>
      </c>
      <c r="N31" s="70">
        <v>11.5</v>
      </c>
      <c r="O31" s="70">
        <v>11.5</v>
      </c>
      <c r="P31" s="70">
        <v>11.5</v>
      </c>
      <c r="Q31" s="80">
        <v>0</v>
      </c>
      <c r="R31" s="70">
        <v>11.5</v>
      </c>
      <c r="S31" s="70">
        <v>11.5</v>
      </c>
      <c r="T31" s="70">
        <v>11.5</v>
      </c>
      <c r="U31" s="70">
        <v>11.5</v>
      </c>
      <c r="V31" s="70">
        <v>11.5</v>
      </c>
      <c r="W31" s="70">
        <v>11.5</v>
      </c>
      <c r="X31" s="80">
        <v>0</v>
      </c>
      <c r="Y31" s="70">
        <v>11.5</v>
      </c>
      <c r="Z31" s="80">
        <v>0</v>
      </c>
      <c r="AA31" s="49">
        <f>SUM(C31:Z31)</f>
        <v>218.5</v>
      </c>
      <c r="AC31" s="48" t="s">
        <v>20</v>
      </c>
      <c r="AE31" s="48">
        <f>AA32*AE30</f>
        <v>-295.82725828186136</v>
      </c>
    </row>
    <row r="32" spans="1:38" ht="27.75" customHeight="1" x14ac:dyDescent="0.4">
      <c r="A32" s="71"/>
      <c r="B32" s="72" t="s">
        <v>21</v>
      </c>
      <c r="C32" s="73">
        <v>2.4464285714285712</v>
      </c>
      <c r="D32" s="73">
        <v>-1.5625E-2</v>
      </c>
      <c r="E32" s="73">
        <v>1.571428571428571</v>
      </c>
      <c r="F32" s="73">
        <v>-2.339080459770114</v>
      </c>
      <c r="G32" s="73">
        <v>10.61290322580645</v>
      </c>
      <c r="H32" s="73">
        <v>0.72413793103448221</v>
      </c>
      <c r="I32" s="81">
        <v>0</v>
      </c>
      <c r="J32" s="73">
        <v>-3.4888888888888889</v>
      </c>
      <c r="K32" s="73">
        <v>-1.964285714285714</v>
      </c>
      <c r="L32" s="81">
        <v>0</v>
      </c>
      <c r="M32" s="73">
        <v>1.193548387096774</v>
      </c>
      <c r="N32" s="73">
        <v>-0.37096774193548399</v>
      </c>
      <c r="O32" s="73">
        <v>-1.377777777777776</v>
      </c>
      <c r="P32" s="73">
        <v>-6.4285714285714288</v>
      </c>
      <c r="Q32" s="81">
        <v>0</v>
      </c>
      <c r="R32" s="73">
        <v>-3.833333333333333</v>
      </c>
      <c r="S32" s="73">
        <v>-2.5833333333333339</v>
      </c>
      <c r="T32" s="73">
        <v>-1.5</v>
      </c>
      <c r="U32" s="73">
        <v>0.53225806451612989</v>
      </c>
      <c r="V32" s="73">
        <v>-4.0357142857142856</v>
      </c>
      <c r="W32" s="73">
        <v>-2.9166666666666661</v>
      </c>
      <c r="X32" s="81">
        <v>0</v>
      </c>
      <c r="Y32" s="73">
        <v>2.887096774193548</v>
      </c>
      <c r="Z32" s="81">
        <v>0</v>
      </c>
      <c r="AA32" s="49">
        <f>SUM(C32:Z32)</f>
        <v>-10.886443104772498</v>
      </c>
    </row>
    <row r="33" spans="1:38" ht="27.75" customHeight="1" x14ac:dyDescent="0.4"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38" ht="27.75" hidden="1" customHeight="1" x14ac:dyDescent="0.4">
      <c r="B34" s="48" t="s">
        <v>29</v>
      </c>
      <c r="C34" s="50">
        <v>1.1100000000000001</v>
      </c>
      <c r="D34" s="51">
        <v>3.11</v>
      </c>
      <c r="E34" s="51">
        <v>4.1100000000000003</v>
      </c>
      <c r="F34" s="51">
        <v>5.1100000000000003</v>
      </c>
      <c r="G34" s="51">
        <v>6.11</v>
      </c>
      <c r="H34" s="51">
        <v>7.11</v>
      </c>
      <c r="I34" s="51">
        <v>8.11</v>
      </c>
      <c r="J34" s="51">
        <v>10.11</v>
      </c>
      <c r="K34" s="51">
        <v>11.11</v>
      </c>
      <c r="L34" s="51">
        <v>12.11</v>
      </c>
      <c r="M34" s="51">
        <v>13.11</v>
      </c>
      <c r="N34" s="51">
        <v>14.11</v>
      </c>
      <c r="O34" s="51">
        <v>15.11</v>
      </c>
      <c r="P34" s="51">
        <v>17.11</v>
      </c>
      <c r="Q34" s="51">
        <v>18.11</v>
      </c>
      <c r="R34" s="51">
        <v>19.11</v>
      </c>
      <c r="S34" s="51">
        <v>20.11</v>
      </c>
      <c r="T34" s="51">
        <v>21.11</v>
      </c>
      <c r="U34" s="51">
        <v>22.11</v>
      </c>
      <c r="V34" s="51">
        <v>24.11</v>
      </c>
      <c r="W34" s="51">
        <v>25.11</v>
      </c>
      <c r="X34" s="52">
        <v>26.11</v>
      </c>
      <c r="Y34" s="53">
        <v>27.11</v>
      </c>
      <c r="Z34" s="53">
        <v>27.11</v>
      </c>
      <c r="AA34" s="54" t="s">
        <v>1</v>
      </c>
      <c r="AB34" s="55" t="s">
        <v>2</v>
      </c>
      <c r="AC34" s="56" t="s">
        <v>3</v>
      </c>
      <c r="AD34" s="57" t="s">
        <v>4</v>
      </c>
      <c r="AE34" s="57" t="s">
        <v>5</v>
      </c>
      <c r="AF34" s="55" t="s">
        <v>6</v>
      </c>
      <c r="AG34" s="55" t="s">
        <v>7</v>
      </c>
      <c r="AH34" s="58" t="s">
        <v>8</v>
      </c>
      <c r="AI34" s="55" t="s">
        <v>9</v>
      </c>
      <c r="AJ34" s="55" t="s">
        <v>10</v>
      </c>
      <c r="AK34" s="59" t="s">
        <v>11</v>
      </c>
      <c r="AL34" s="55" t="s">
        <v>12</v>
      </c>
    </row>
    <row r="35" spans="1:38" ht="41.25" hidden="1" customHeight="1" x14ac:dyDescent="0.6">
      <c r="A35" s="60">
        <v>0</v>
      </c>
      <c r="B35" s="61"/>
      <c r="C35" s="62">
        <v>233</v>
      </c>
      <c r="D35" s="87">
        <v>191</v>
      </c>
      <c r="E35" s="63">
        <f>194.75+112/6</f>
        <v>213.41666666666666</v>
      </c>
      <c r="F35" s="63">
        <v>195.75</v>
      </c>
      <c r="G35" s="63">
        <f>197.5+70/6</f>
        <v>209.16666666666666</v>
      </c>
      <c r="H35" s="63">
        <v>196.25</v>
      </c>
      <c r="I35" s="63">
        <v>204.5</v>
      </c>
      <c r="J35" s="63">
        <f>190.25+232/6</f>
        <v>228.91666666666666</v>
      </c>
      <c r="K35" s="63">
        <v>241</v>
      </c>
      <c r="L35" s="63">
        <f>207.45+116/6</f>
        <v>226.78333333333333</v>
      </c>
      <c r="M35" s="63">
        <v>207.5</v>
      </c>
      <c r="N35" s="63">
        <v>219.5</v>
      </c>
      <c r="O35" s="63">
        <v>203.5</v>
      </c>
      <c r="P35" s="63">
        <v>197</v>
      </c>
      <c r="Q35" s="63">
        <f>193+44/6</f>
        <v>200.33333333333334</v>
      </c>
      <c r="R35" s="63">
        <v>192.25</v>
      </c>
      <c r="S35" s="63">
        <f>209.25+85/6</f>
        <v>223.41666666666666</v>
      </c>
      <c r="T35" s="63">
        <v>211.25</v>
      </c>
      <c r="U35" s="63">
        <v>216.25</v>
      </c>
      <c r="V35" s="63">
        <f>187.5+45/6</f>
        <v>195</v>
      </c>
      <c r="W35" s="63">
        <v>220.75</v>
      </c>
      <c r="X35" s="63">
        <v>229</v>
      </c>
      <c r="Y35" s="63">
        <f>197.5+95/6</f>
        <v>213.33333333333334</v>
      </c>
      <c r="Z35" s="63">
        <f>197.5+95/6</f>
        <v>213.33333333333334</v>
      </c>
      <c r="AA35" s="64">
        <f>SUM(C35:Z35)</f>
        <v>5082.1999999999989</v>
      </c>
      <c r="AB35" s="65">
        <v>27</v>
      </c>
      <c r="AC35" s="65">
        <f>AB35*175</f>
        <v>4725</v>
      </c>
      <c r="AD35" s="65">
        <f>AA35-AC35</f>
        <v>357.19999999999891</v>
      </c>
      <c r="AE35" s="65">
        <v>27</v>
      </c>
      <c r="AF35" s="65">
        <f>AD35/175</f>
        <v>2.0411428571428507</v>
      </c>
      <c r="AG35" s="65">
        <f>AI35/AE35</f>
        <v>240.74074074074073</v>
      </c>
      <c r="AH35" s="66">
        <f>AG35*AF35</f>
        <v>491.3862433862418</v>
      </c>
      <c r="AI35" s="65">
        <v>6500</v>
      </c>
      <c r="AJ35" s="67">
        <f>AI35+AH35</f>
        <v>6991.3862433862414</v>
      </c>
      <c r="AK35" s="88"/>
      <c r="AL35" s="68"/>
    </row>
    <row r="36" spans="1:38" ht="27.75" hidden="1" customHeight="1" x14ac:dyDescent="0.4">
      <c r="A36" s="69"/>
      <c r="B36" s="48" t="s">
        <v>16</v>
      </c>
      <c r="C36" s="70">
        <v>16.5</v>
      </c>
      <c r="D36" s="70">
        <v>15</v>
      </c>
      <c r="E36" s="70">
        <v>16</v>
      </c>
      <c r="F36" s="70">
        <v>16</v>
      </c>
      <c r="G36" s="70">
        <v>16</v>
      </c>
      <c r="H36" s="70">
        <v>16</v>
      </c>
      <c r="I36" s="70">
        <v>14.5</v>
      </c>
      <c r="J36" s="70">
        <v>15.66</v>
      </c>
      <c r="K36" s="70">
        <v>16</v>
      </c>
      <c r="L36" s="70">
        <v>17</v>
      </c>
      <c r="M36" s="70">
        <v>16</v>
      </c>
      <c r="N36" s="70">
        <v>16.5</v>
      </c>
      <c r="O36" s="70">
        <v>14.5</v>
      </c>
      <c r="P36" s="70">
        <v>14</v>
      </c>
      <c r="Q36" s="70">
        <v>15</v>
      </c>
      <c r="R36" s="70">
        <v>15</v>
      </c>
      <c r="S36" s="89">
        <v>17</v>
      </c>
      <c r="T36" s="89">
        <v>16</v>
      </c>
      <c r="U36" s="70">
        <v>16</v>
      </c>
      <c r="V36" s="89">
        <v>14</v>
      </c>
      <c r="W36" s="89">
        <v>15</v>
      </c>
      <c r="X36" s="70">
        <v>17</v>
      </c>
      <c r="Y36" s="89">
        <v>15.5</v>
      </c>
      <c r="Z36" s="89">
        <v>15.5</v>
      </c>
    </row>
    <row r="37" spans="1:38" ht="27.75" hidden="1" customHeight="1" x14ac:dyDescent="0.4">
      <c r="A37" s="69"/>
      <c r="B37" s="48" t="s">
        <v>17</v>
      </c>
      <c r="C37" s="70">
        <f t="shared" ref="C37:Z37" si="2">C35/C36</f>
        <v>14.121212121212121</v>
      </c>
      <c r="D37" s="70">
        <f t="shared" si="2"/>
        <v>12.733333333333333</v>
      </c>
      <c r="E37" s="70">
        <f t="shared" si="2"/>
        <v>13.338541666666666</v>
      </c>
      <c r="F37" s="70">
        <f t="shared" si="2"/>
        <v>12.234375</v>
      </c>
      <c r="G37" s="70">
        <f t="shared" si="2"/>
        <v>13.072916666666666</v>
      </c>
      <c r="H37" s="70">
        <f t="shared" si="2"/>
        <v>12.265625</v>
      </c>
      <c r="I37" s="70">
        <f t="shared" si="2"/>
        <v>14.103448275862069</v>
      </c>
      <c r="J37" s="70">
        <f t="shared" si="2"/>
        <v>14.61792252022137</v>
      </c>
      <c r="K37" s="70">
        <f t="shared" si="2"/>
        <v>15.0625</v>
      </c>
      <c r="L37" s="70">
        <f t="shared" si="2"/>
        <v>13.340196078431372</v>
      </c>
      <c r="M37" s="70">
        <f t="shared" si="2"/>
        <v>12.96875</v>
      </c>
      <c r="N37" s="70">
        <f t="shared" si="2"/>
        <v>13.303030303030303</v>
      </c>
      <c r="O37" s="70">
        <f t="shared" si="2"/>
        <v>14.03448275862069</v>
      </c>
      <c r="P37" s="70">
        <f t="shared" si="2"/>
        <v>14.071428571428571</v>
      </c>
      <c r="Q37" s="70">
        <f t="shared" si="2"/>
        <v>13.355555555555556</v>
      </c>
      <c r="R37" s="70">
        <f t="shared" si="2"/>
        <v>12.816666666666666</v>
      </c>
      <c r="S37" s="70">
        <f t="shared" si="2"/>
        <v>13.142156862745097</v>
      </c>
      <c r="T37" s="70">
        <f t="shared" si="2"/>
        <v>13.203125</v>
      </c>
      <c r="U37" s="70">
        <f t="shared" si="2"/>
        <v>13.515625</v>
      </c>
      <c r="V37" s="70">
        <f t="shared" si="2"/>
        <v>13.928571428571429</v>
      </c>
      <c r="W37" s="70">
        <f t="shared" si="2"/>
        <v>14.716666666666667</v>
      </c>
      <c r="X37" s="70">
        <f t="shared" si="2"/>
        <v>13.470588235294118</v>
      </c>
      <c r="Y37" s="70">
        <f t="shared" si="2"/>
        <v>13.763440860215054</v>
      </c>
      <c r="Z37" s="70">
        <f t="shared" si="2"/>
        <v>13.763440860215054</v>
      </c>
      <c r="AA37" s="49">
        <f>SUM(C37:Z37)</f>
        <v>324.94359943140279</v>
      </c>
      <c r="AC37" s="48" t="s">
        <v>18</v>
      </c>
      <c r="AE37" s="48">
        <f>AG35/11.5</f>
        <v>20.933977455716587</v>
      </c>
      <c r="AG37" s="48">
        <f>27*175</f>
        <v>4725</v>
      </c>
      <c r="AH37" s="48">
        <f>5823-27*175</f>
        <v>1098</v>
      </c>
    </row>
    <row r="38" spans="1:38" ht="27.75" hidden="1" customHeight="1" x14ac:dyDescent="0.4">
      <c r="A38" s="69"/>
      <c r="B38" s="48" t="s">
        <v>19</v>
      </c>
      <c r="C38" s="70">
        <v>11.5</v>
      </c>
      <c r="D38" s="70">
        <v>0</v>
      </c>
      <c r="E38" s="70">
        <v>11.5</v>
      </c>
      <c r="F38" s="70">
        <v>11.5</v>
      </c>
      <c r="G38" s="70">
        <v>11.5</v>
      </c>
      <c r="H38" s="70">
        <v>11.5</v>
      </c>
      <c r="I38" s="70">
        <v>11.5</v>
      </c>
      <c r="J38" s="70">
        <v>11.5</v>
      </c>
      <c r="K38" s="70">
        <v>11.5</v>
      </c>
      <c r="L38" s="70">
        <v>11.5</v>
      </c>
      <c r="M38" s="70">
        <v>11.5</v>
      </c>
      <c r="N38" s="70">
        <v>11.5</v>
      </c>
      <c r="O38" s="70">
        <v>11.5</v>
      </c>
      <c r="P38" s="70">
        <v>11.5</v>
      </c>
      <c r="Q38" s="70">
        <v>11.5</v>
      </c>
      <c r="R38" s="70">
        <v>11.5</v>
      </c>
      <c r="S38" s="70">
        <v>0</v>
      </c>
      <c r="T38" s="70">
        <v>11.5</v>
      </c>
      <c r="U38" s="70">
        <v>0</v>
      </c>
      <c r="V38" s="70">
        <v>11.5</v>
      </c>
      <c r="W38" s="70">
        <v>11.5</v>
      </c>
      <c r="X38" s="70">
        <v>11.5</v>
      </c>
      <c r="Y38" s="70">
        <v>11.5</v>
      </c>
      <c r="Z38" s="70">
        <v>11.5</v>
      </c>
      <c r="AA38" s="49">
        <f>SUM(C38:Z38)</f>
        <v>241.5</v>
      </c>
      <c r="AC38" s="48" t="s">
        <v>20</v>
      </c>
      <c r="AE38" s="48">
        <f>AA39*AE37</f>
        <v>1746.8064293208317</v>
      </c>
      <c r="AH38" s="48">
        <f>AH37*175</f>
        <v>192150</v>
      </c>
      <c r="AJ38" s="48">
        <f>AH37/AG37</f>
        <v>0.23238095238095238</v>
      </c>
    </row>
    <row r="39" spans="1:38" ht="27.75" hidden="1" customHeight="1" x14ac:dyDescent="0.4">
      <c r="A39" s="71"/>
      <c r="B39" s="72" t="s">
        <v>21</v>
      </c>
      <c r="C39" s="73">
        <f t="shared" ref="C39:Z39" si="3">C37-C38</f>
        <v>2.6212121212121211</v>
      </c>
      <c r="D39" s="73">
        <f t="shared" si="3"/>
        <v>12.733333333333333</v>
      </c>
      <c r="E39" s="73">
        <f t="shared" si="3"/>
        <v>1.8385416666666661</v>
      </c>
      <c r="F39" s="73">
        <f t="shared" si="3"/>
        <v>0.734375</v>
      </c>
      <c r="G39" s="73">
        <f t="shared" si="3"/>
        <v>1.5729166666666661</v>
      </c>
      <c r="H39" s="73">
        <f t="shared" si="3"/>
        <v>0.765625</v>
      </c>
      <c r="I39" s="73">
        <f t="shared" si="3"/>
        <v>2.6034482758620694</v>
      </c>
      <c r="J39" s="73">
        <f t="shared" si="3"/>
        <v>3.1179225202213701</v>
      </c>
      <c r="K39" s="73">
        <f t="shared" si="3"/>
        <v>3.5625</v>
      </c>
      <c r="L39" s="73">
        <f t="shared" si="3"/>
        <v>1.8401960784313722</v>
      </c>
      <c r="M39" s="73">
        <f t="shared" si="3"/>
        <v>1.46875</v>
      </c>
      <c r="N39" s="73">
        <f t="shared" si="3"/>
        <v>1.8030303030303028</v>
      </c>
      <c r="O39" s="73">
        <f t="shared" si="3"/>
        <v>2.5344827586206904</v>
      </c>
      <c r="P39" s="73">
        <f t="shared" si="3"/>
        <v>2.5714285714285712</v>
      </c>
      <c r="Q39" s="73">
        <f t="shared" si="3"/>
        <v>1.8555555555555561</v>
      </c>
      <c r="R39" s="73">
        <f t="shared" si="3"/>
        <v>1.3166666666666664</v>
      </c>
      <c r="S39" s="73">
        <f t="shared" si="3"/>
        <v>13.142156862745097</v>
      </c>
      <c r="T39" s="73">
        <f t="shared" si="3"/>
        <v>1.703125</v>
      </c>
      <c r="U39" s="73">
        <f t="shared" si="3"/>
        <v>13.515625</v>
      </c>
      <c r="V39" s="73">
        <f t="shared" si="3"/>
        <v>2.4285714285714288</v>
      </c>
      <c r="W39" s="73">
        <f t="shared" si="3"/>
        <v>3.2166666666666668</v>
      </c>
      <c r="X39" s="73">
        <f t="shared" si="3"/>
        <v>1.9705882352941178</v>
      </c>
      <c r="Y39" s="73">
        <f t="shared" si="3"/>
        <v>2.263440860215054</v>
      </c>
      <c r="Z39" s="73">
        <f t="shared" si="3"/>
        <v>2.263440860215054</v>
      </c>
      <c r="AA39" s="49">
        <f>SUM(C39:Z39)</f>
        <v>83.443599431402802</v>
      </c>
    </row>
    <row r="40" spans="1:38" ht="27.75" hidden="1" customHeight="1" x14ac:dyDescent="0.4"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38" ht="27.75" hidden="1" customHeight="1" x14ac:dyDescent="0.4">
      <c r="C41" s="50">
        <v>1.1100000000000001</v>
      </c>
      <c r="D41" s="51">
        <v>3.11</v>
      </c>
      <c r="E41" s="51">
        <v>4.1100000000000003</v>
      </c>
      <c r="F41" s="51">
        <v>5.1100000000000003</v>
      </c>
      <c r="G41" s="51">
        <v>6.11</v>
      </c>
      <c r="H41" s="51">
        <v>7.11</v>
      </c>
      <c r="I41" s="51">
        <v>8.11</v>
      </c>
      <c r="J41" s="51">
        <v>10.11</v>
      </c>
      <c r="K41" s="51">
        <v>11.11</v>
      </c>
      <c r="L41" s="51">
        <v>12.11</v>
      </c>
      <c r="M41" s="51">
        <v>13.11</v>
      </c>
      <c r="N41" s="51">
        <v>14.11</v>
      </c>
      <c r="O41" s="51">
        <v>15.11</v>
      </c>
      <c r="P41" s="51">
        <v>17.11</v>
      </c>
      <c r="Q41" s="51">
        <v>18.11</v>
      </c>
      <c r="R41" s="51">
        <v>19.11</v>
      </c>
      <c r="S41" s="51">
        <v>20.11</v>
      </c>
      <c r="T41" s="51">
        <v>21.11</v>
      </c>
      <c r="U41" s="51">
        <v>22.11</v>
      </c>
      <c r="V41" s="51">
        <v>24.11</v>
      </c>
      <c r="W41" s="51">
        <v>25.11</v>
      </c>
      <c r="X41" s="52">
        <v>26.11</v>
      </c>
      <c r="Y41" s="53">
        <v>27.11</v>
      </c>
      <c r="Z41" s="53">
        <v>27.11</v>
      </c>
      <c r="AA41" s="54" t="s">
        <v>1</v>
      </c>
      <c r="AB41" s="55" t="s">
        <v>2</v>
      </c>
      <c r="AC41" s="56" t="s">
        <v>3</v>
      </c>
      <c r="AD41" s="57" t="s">
        <v>4</v>
      </c>
      <c r="AE41" s="57" t="s">
        <v>5</v>
      </c>
      <c r="AF41" s="55" t="s">
        <v>6</v>
      </c>
      <c r="AG41" s="55" t="s">
        <v>7</v>
      </c>
      <c r="AH41" s="58" t="s">
        <v>8</v>
      </c>
      <c r="AI41" s="55" t="s">
        <v>9</v>
      </c>
      <c r="AJ41" s="55" t="s">
        <v>10</v>
      </c>
      <c r="AK41" s="59" t="s">
        <v>11</v>
      </c>
      <c r="AL41" s="55" t="s">
        <v>12</v>
      </c>
    </row>
    <row r="42" spans="1:38" ht="49.5" hidden="1" customHeight="1" x14ac:dyDescent="0.6">
      <c r="A42" s="60">
        <v>0</v>
      </c>
      <c r="B42" s="61"/>
      <c r="C42" s="62">
        <v>233</v>
      </c>
      <c r="D42" s="87">
        <v>191</v>
      </c>
      <c r="E42" s="63">
        <f>194.75+112/6</f>
        <v>213.41666666666666</v>
      </c>
      <c r="F42" s="63">
        <v>195.75</v>
      </c>
      <c r="G42" s="63">
        <f>197.5+70/6</f>
        <v>209.16666666666666</v>
      </c>
      <c r="H42" s="63">
        <v>196.25</v>
      </c>
      <c r="I42" s="63">
        <v>204.5</v>
      </c>
      <c r="J42" s="63">
        <f>190.25+232/6</f>
        <v>228.91666666666666</v>
      </c>
      <c r="K42" s="63">
        <v>241</v>
      </c>
      <c r="L42" s="63">
        <f>207.45+116/6</f>
        <v>226.78333333333333</v>
      </c>
      <c r="M42" s="63">
        <v>207.5</v>
      </c>
      <c r="N42" s="63">
        <v>219.5</v>
      </c>
      <c r="O42" s="63">
        <v>203.5</v>
      </c>
      <c r="P42" s="63">
        <v>197</v>
      </c>
      <c r="Q42" s="63">
        <f>193+44/6</f>
        <v>200.33333333333334</v>
      </c>
      <c r="R42" s="63">
        <v>192.25</v>
      </c>
      <c r="S42" s="63">
        <f>209.25+85/6</f>
        <v>223.41666666666666</v>
      </c>
      <c r="T42" s="63">
        <v>211.25</v>
      </c>
      <c r="U42" s="63">
        <v>216.25</v>
      </c>
      <c r="V42" s="63">
        <f>187.5+45/6</f>
        <v>195</v>
      </c>
      <c r="W42" s="63">
        <v>220.75</v>
      </c>
      <c r="X42" s="63">
        <v>229</v>
      </c>
      <c r="Y42" s="63">
        <f>197.5+95/6</f>
        <v>213.33333333333334</v>
      </c>
      <c r="Z42" s="63">
        <f>197.5+95/6</f>
        <v>213.33333333333334</v>
      </c>
      <c r="AA42" s="64">
        <f>SUM(C42:Z42)</f>
        <v>5082.1999999999989</v>
      </c>
      <c r="AB42" s="65">
        <v>6</v>
      </c>
      <c r="AC42" s="65">
        <f>AB42*175</f>
        <v>1050</v>
      </c>
      <c r="AD42" s="65">
        <f>AA42-AC42</f>
        <v>4032.1999999999989</v>
      </c>
      <c r="AE42" s="65">
        <v>27</v>
      </c>
      <c r="AF42" s="65">
        <f>AD42/175</f>
        <v>23.041142857142852</v>
      </c>
      <c r="AG42" s="65">
        <f>AI42/AE42</f>
        <v>296.2962962962963</v>
      </c>
      <c r="AH42" s="66">
        <f>AG42*AF42</f>
        <v>6827.0052910052891</v>
      </c>
      <c r="AI42" s="65">
        <v>8000</v>
      </c>
      <c r="AJ42" s="67">
        <f>AI42+AH42</f>
        <v>14827.005291005289</v>
      </c>
      <c r="AK42" s="61"/>
      <c r="AL42" s="68"/>
    </row>
    <row r="43" spans="1:38" ht="27.75" hidden="1" customHeight="1" x14ac:dyDescent="0.4">
      <c r="A43" s="69"/>
      <c r="B43" s="48" t="s">
        <v>16</v>
      </c>
      <c r="C43" s="70">
        <v>16.5</v>
      </c>
      <c r="D43" s="70">
        <v>15</v>
      </c>
      <c r="E43" s="70">
        <v>16</v>
      </c>
      <c r="F43" s="70">
        <v>16</v>
      </c>
      <c r="G43" s="70">
        <v>16</v>
      </c>
      <c r="H43" s="70">
        <v>16</v>
      </c>
      <c r="I43" s="70">
        <v>14.5</v>
      </c>
      <c r="J43" s="70">
        <v>15.66</v>
      </c>
      <c r="K43" s="70">
        <v>16</v>
      </c>
      <c r="L43" s="70">
        <v>17</v>
      </c>
      <c r="M43" s="70">
        <v>16</v>
      </c>
      <c r="N43" s="70">
        <v>16.5</v>
      </c>
      <c r="O43" s="70">
        <v>14.5</v>
      </c>
      <c r="P43" s="70">
        <v>14</v>
      </c>
      <c r="Q43" s="70">
        <v>15</v>
      </c>
      <c r="R43" s="70">
        <v>15</v>
      </c>
      <c r="S43" s="89">
        <v>17</v>
      </c>
      <c r="T43" s="89">
        <v>16</v>
      </c>
      <c r="U43" s="70">
        <v>16</v>
      </c>
      <c r="V43" s="89">
        <v>14</v>
      </c>
      <c r="W43" s="89">
        <v>15</v>
      </c>
      <c r="X43" s="70">
        <v>17</v>
      </c>
      <c r="Y43" s="89">
        <v>15.5</v>
      </c>
      <c r="Z43" s="89">
        <v>15.5</v>
      </c>
    </row>
    <row r="44" spans="1:38" ht="27.75" hidden="1" customHeight="1" x14ac:dyDescent="0.4">
      <c r="A44" s="69"/>
      <c r="B44" s="48" t="s">
        <v>17</v>
      </c>
      <c r="C44" s="70">
        <f t="shared" ref="C44:Z44" si="4">C42/C43</f>
        <v>14.121212121212121</v>
      </c>
      <c r="D44" s="70">
        <f t="shared" si="4"/>
        <v>12.733333333333333</v>
      </c>
      <c r="E44" s="70">
        <f t="shared" si="4"/>
        <v>13.338541666666666</v>
      </c>
      <c r="F44" s="70">
        <f t="shared" si="4"/>
        <v>12.234375</v>
      </c>
      <c r="G44" s="70">
        <f t="shared" si="4"/>
        <v>13.072916666666666</v>
      </c>
      <c r="H44" s="70">
        <f t="shared" si="4"/>
        <v>12.265625</v>
      </c>
      <c r="I44" s="70">
        <f t="shared" si="4"/>
        <v>14.103448275862069</v>
      </c>
      <c r="J44" s="70">
        <f t="shared" si="4"/>
        <v>14.61792252022137</v>
      </c>
      <c r="K44" s="70">
        <f t="shared" si="4"/>
        <v>15.0625</v>
      </c>
      <c r="L44" s="70">
        <f t="shared" si="4"/>
        <v>13.340196078431372</v>
      </c>
      <c r="M44" s="70">
        <f t="shared" si="4"/>
        <v>12.96875</v>
      </c>
      <c r="N44" s="70">
        <f t="shared" si="4"/>
        <v>13.303030303030303</v>
      </c>
      <c r="O44" s="70">
        <f t="shared" si="4"/>
        <v>14.03448275862069</v>
      </c>
      <c r="P44" s="70">
        <f t="shared" si="4"/>
        <v>14.071428571428571</v>
      </c>
      <c r="Q44" s="70">
        <f t="shared" si="4"/>
        <v>13.355555555555556</v>
      </c>
      <c r="R44" s="70">
        <f t="shared" si="4"/>
        <v>12.816666666666666</v>
      </c>
      <c r="S44" s="70">
        <f t="shared" si="4"/>
        <v>13.142156862745097</v>
      </c>
      <c r="T44" s="70">
        <f t="shared" si="4"/>
        <v>13.203125</v>
      </c>
      <c r="U44" s="70">
        <f t="shared" si="4"/>
        <v>13.515625</v>
      </c>
      <c r="V44" s="70">
        <f t="shared" si="4"/>
        <v>13.928571428571429</v>
      </c>
      <c r="W44" s="70">
        <f t="shared" si="4"/>
        <v>14.716666666666667</v>
      </c>
      <c r="X44" s="70">
        <f t="shared" si="4"/>
        <v>13.470588235294118</v>
      </c>
      <c r="Y44" s="70">
        <f t="shared" si="4"/>
        <v>13.763440860215054</v>
      </c>
      <c r="Z44" s="70">
        <f t="shared" si="4"/>
        <v>13.763440860215054</v>
      </c>
      <c r="AA44" s="49">
        <f>SUM(C44:Z44)</f>
        <v>324.94359943140279</v>
      </c>
      <c r="AC44" s="48" t="s">
        <v>18</v>
      </c>
      <c r="AE44" s="48">
        <f>AG42/11.5</f>
        <v>25.764895330112722</v>
      </c>
    </row>
    <row r="45" spans="1:38" ht="27.75" hidden="1" customHeight="1" x14ac:dyDescent="0.4">
      <c r="A45" s="69"/>
      <c r="B45" s="48" t="s">
        <v>19</v>
      </c>
      <c r="C45" s="70">
        <v>11.5</v>
      </c>
      <c r="D45" s="70">
        <v>0</v>
      </c>
      <c r="E45" s="70">
        <v>11.5</v>
      </c>
      <c r="F45" s="70">
        <v>11.5</v>
      </c>
      <c r="G45" s="70">
        <v>11.5</v>
      </c>
      <c r="H45" s="70">
        <v>11.5</v>
      </c>
      <c r="I45" s="70">
        <v>11.5</v>
      </c>
      <c r="J45" s="70">
        <v>11.5</v>
      </c>
      <c r="K45" s="70">
        <v>11.5</v>
      </c>
      <c r="L45" s="70">
        <v>11.5</v>
      </c>
      <c r="M45" s="70">
        <v>11.5</v>
      </c>
      <c r="N45" s="70">
        <v>11.5</v>
      </c>
      <c r="O45" s="70">
        <v>11.5</v>
      </c>
      <c r="P45" s="70">
        <v>11.5</v>
      </c>
      <c r="Q45" s="70">
        <v>11.5</v>
      </c>
      <c r="R45" s="70">
        <v>11.5</v>
      </c>
      <c r="S45" s="70">
        <v>0</v>
      </c>
      <c r="T45" s="70">
        <v>11.5</v>
      </c>
      <c r="U45" s="70">
        <v>0</v>
      </c>
      <c r="V45" s="70">
        <v>11.5</v>
      </c>
      <c r="W45" s="70">
        <v>11.5</v>
      </c>
      <c r="X45" s="70">
        <v>11.5</v>
      </c>
      <c r="Y45" s="70">
        <v>11.5</v>
      </c>
      <c r="Z45" s="70">
        <v>11.5</v>
      </c>
      <c r="AA45" s="49">
        <f>SUM(C45:Z45)</f>
        <v>241.5</v>
      </c>
      <c r="AC45" s="48" t="s">
        <v>20</v>
      </c>
      <c r="AE45" s="48">
        <f>AA46*AE44</f>
        <v>2149.9156053179468</v>
      </c>
    </row>
    <row r="46" spans="1:38" ht="27.75" hidden="1" customHeight="1" x14ac:dyDescent="0.4">
      <c r="A46" s="71"/>
      <c r="B46" s="72" t="s">
        <v>21</v>
      </c>
      <c r="C46" s="73">
        <f t="shared" ref="C46:Z46" si="5">C44-C45</f>
        <v>2.6212121212121211</v>
      </c>
      <c r="D46" s="73">
        <f t="shared" si="5"/>
        <v>12.733333333333333</v>
      </c>
      <c r="E46" s="73">
        <f t="shared" si="5"/>
        <v>1.8385416666666661</v>
      </c>
      <c r="F46" s="73">
        <f t="shared" si="5"/>
        <v>0.734375</v>
      </c>
      <c r="G46" s="73">
        <f t="shared" si="5"/>
        <v>1.5729166666666661</v>
      </c>
      <c r="H46" s="73">
        <f t="shared" si="5"/>
        <v>0.765625</v>
      </c>
      <c r="I46" s="73">
        <f t="shared" si="5"/>
        <v>2.6034482758620694</v>
      </c>
      <c r="J46" s="73">
        <f t="shared" si="5"/>
        <v>3.1179225202213701</v>
      </c>
      <c r="K46" s="73">
        <f t="shared" si="5"/>
        <v>3.5625</v>
      </c>
      <c r="L46" s="73">
        <f t="shared" si="5"/>
        <v>1.8401960784313722</v>
      </c>
      <c r="M46" s="73">
        <f t="shared" si="5"/>
        <v>1.46875</v>
      </c>
      <c r="N46" s="73">
        <f t="shared" si="5"/>
        <v>1.8030303030303028</v>
      </c>
      <c r="O46" s="73">
        <f t="shared" si="5"/>
        <v>2.5344827586206904</v>
      </c>
      <c r="P46" s="73">
        <f t="shared" si="5"/>
        <v>2.5714285714285712</v>
      </c>
      <c r="Q46" s="73">
        <f t="shared" si="5"/>
        <v>1.8555555555555561</v>
      </c>
      <c r="R46" s="73">
        <f t="shared" si="5"/>
        <v>1.3166666666666664</v>
      </c>
      <c r="S46" s="73">
        <f t="shared" si="5"/>
        <v>13.142156862745097</v>
      </c>
      <c r="T46" s="73">
        <f t="shared" si="5"/>
        <v>1.703125</v>
      </c>
      <c r="U46" s="73">
        <f t="shared" si="5"/>
        <v>13.515625</v>
      </c>
      <c r="V46" s="73">
        <f t="shared" si="5"/>
        <v>2.4285714285714288</v>
      </c>
      <c r="W46" s="73">
        <f t="shared" si="5"/>
        <v>3.2166666666666668</v>
      </c>
      <c r="X46" s="73">
        <f t="shared" si="5"/>
        <v>1.9705882352941178</v>
      </c>
      <c r="Y46" s="73">
        <f t="shared" si="5"/>
        <v>2.263440860215054</v>
      </c>
      <c r="Z46" s="73">
        <f t="shared" si="5"/>
        <v>2.263440860215054</v>
      </c>
      <c r="AA46" s="49">
        <f>SUM(C46:Z46)</f>
        <v>83.443599431402802</v>
      </c>
    </row>
    <row r="47" spans="1:38" ht="27.75" customHeight="1" x14ac:dyDescent="0.4">
      <c r="B47" s="48" t="s">
        <v>30</v>
      </c>
      <c r="C47" s="50">
        <v>2.02</v>
      </c>
      <c r="D47" s="51">
        <v>3.02</v>
      </c>
      <c r="E47" s="51">
        <v>4.0199999999999996</v>
      </c>
      <c r="F47" s="75">
        <v>5.0199999999999996</v>
      </c>
      <c r="G47" s="51">
        <v>6.02</v>
      </c>
      <c r="H47" s="51">
        <v>7.02</v>
      </c>
      <c r="I47" s="51">
        <v>9.02</v>
      </c>
      <c r="J47" s="51">
        <v>10.02</v>
      </c>
      <c r="K47" s="51">
        <v>11.02</v>
      </c>
      <c r="L47" s="75">
        <v>12.02</v>
      </c>
      <c r="M47" s="51">
        <v>13.02</v>
      </c>
      <c r="N47" s="51">
        <v>14.02</v>
      </c>
      <c r="O47" s="51">
        <v>16.02</v>
      </c>
      <c r="P47" s="51">
        <v>17.02</v>
      </c>
      <c r="Q47" s="51">
        <v>18.02</v>
      </c>
      <c r="R47" s="51">
        <v>19.02</v>
      </c>
      <c r="S47" s="51">
        <v>20.02</v>
      </c>
      <c r="T47" s="75">
        <v>21.02</v>
      </c>
      <c r="U47" s="51">
        <v>23.02</v>
      </c>
      <c r="V47" s="51">
        <v>24.02</v>
      </c>
      <c r="W47" s="51">
        <v>25.02</v>
      </c>
      <c r="X47" s="52">
        <v>26.02</v>
      </c>
      <c r="Y47" s="53">
        <v>27.02</v>
      </c>
      <c r="Z47" s="53">
        <v>28.02</v>
      </c>
      <c r="AA47" s="54" t="s">
        <v>1</v>
      </c>
      <c r="AB47" s="55" t="s">
        <v>2</v>
      </c>
      <c r="AC47" s="56" t="s">
        <v>3</v>
      </c>
      <c r="AD47" s="57" t="s">
        <v>4</v>
      </c>
      <c r="AE47" s="57" t="s">
        <v>5</v>
      </c>
      <c r="AF47" s="55" t="s">
        <v>6</v>
      </c>
      <c r="AG47" s="55" t="s">
        <v>7</v>
      </c>
      <c r="AH47" s="58" t="s">
        <v>8</v>
      </c>
      <c r="AI47" s="55" t="s">
        <v>9</v>
      </c>
      <c r="AJ47" s="55" t="s">
        <v>10</v>
      </c>
      <c r="AK47" s="59" t="s">
        <v>11</v>
      </c>
      <c r="AL47" s="55" t="s">
        <v>12</v>
      </c>
    </row>
    <row r="48" spans="1:38" ht="44.25" customHeight="1" x14ac:dyDescent="0.6">
      <c r="A48" s="60">
        <v>5</v>
      </c>
      <c r="B48" s="61" t="s">
        <v>31</v>
      </c>
      <c r="C48" s="62">
        <v>195.25</v>
      </c>
      <c r="D48" s="62">
        <v>183.75</v>
      </c>
      <c r="E48" s="63">
        <v>183</v>
      </c>
      <c r="F48" s="79">
        <v>0</v>
      </c>
      <c r="G48" s="62">
        <v>164.5</v>
      </c>
      <c r="H48" s="62">
        <v>177.25</v>
      </c>
      <c r="I48" s="62">
        <v>161.25</v>
      </c>
      <c r="J48" s="62">
        <v>120.1666666666667</v>
      </c>
      <c r="K48" s="62">
        <v>133.5</v>
      </c>
      <c r="L48" s="79">
        <v>0</v>
      </c>
      <c r="M48" s="62">
        <v>196.75</v>
      </c>
      <c r="N48" s="62">
        <v>172.5</v>
      </c>
      <c r="O48" s="62">
        <v>151.83333333333329</v>
      </c>
      <c r="P48" s="62">
        <v>71</v>
      </c>
      <c r="Q48" s="62">
        <v>172.75</v>
      </c>
      <c r="R48" s="62">
        <v>115</v>
      </c>
      <c r="S48" s="62">
        <v>107</v>
      </c>
      <c r="T48" s="79">
        <v>0</v>
      </c>
      <c r="U48" s="62">
        <v>186.5</v>
      </c>
      <c r="V48" s="62">
        <v>104.5</v>
      </c>
      <c r="W48" s="62">
        <v>103</v>
      </c>
      <c r="X48" s="62">
        <v>145</v>
      </c>
      <c r="Y48" s="62">
        <v>223</v>
      </c>
      <c r="Z48" s="62">
        <v>179.5</v>
      </c>
      <c r="AA48" s="64">
        <f>SUM(C48:Z48)</f>
        <v>3247</v>
      </c>
      <c r="AB48" s="65">
        <v>21</v>
      </c>
      <c r="AC48" s="65">
        <f>AB48*166</f>
        <v>3486</v>
      </c>
      <c r="AD48" s="65">
        <f>AA48-AC48</f>
        <v>-239</v>
      </c>
      <c r="AE48" s="65">
        <v>24</v>
      </c>
      <c r="AF48" s="65">
        <f>AD48/175</f>
        <v>-1.3657142857142857</v>
      </c>
      <c r="AG48" s="65">
        <f>AI48/AE48</f>
        <v>312.5</v>
      </c>
      <c r="AH48" s="66">
        <f>AG48*AF48</f>
        <v>-426.78571428571428</v>
      </c>
      <c r="AI48" s="65">
        <v>7500</v>
      </c>
      <c r="AJ48" s="67">
        <f>AI48+AH48</f>
        <v>7073.2142857142853</v>
      </c>
      <c r="AK48" s="61" t="s">
        <v>31</v>
      </c>
      <c r="AL48" s="68"/>
    </row>
    <row r="49" spans="1:38" ht="27.75" customHeight="1" x14ac:dyDescent="0.4">
      <c r="A49" s="69"/>
      <c r="B49" s="48" t="s">
        <v>16</v>
      </c>
      <c r="C49" s="70">
        <v>14</v>
      </c>
      <c r="D49" s="70">
        <v>16</v>
      </c>
      <c r="E49" s="70">
        <v>14</v>
      </c>
      <c r="F49" s="80">
        <v>14.5</v>
      </c>
      <c r="G49" s="70">
        <v>15.5</v>
      </c>
      <c r="H49" s="70">
        <v>14.5</v>
      </c>
      <c r="I49" s="70">
        <v>13</v>
      </c>
      <c r="J49" s="70">
        <v>15</v>
      </c>
      <c r="K49" s="70">
        <v>14</v>
      </c>
      <c r="L49" s="80">
        <v>14.5</v>
      </c>
      <c r="M49" s="70">
        <v>15.5</v>
      </c>
      <c r="N49" s="70">
        <v>15.5</v>
      </c>
      <c r="O49" s="70">
        <v>15</v>
      </c>
      <c r="P49" s="70">
        <v>14</v>
      </c>
      <c r="Q49" s="70">
        <v>13.5</v>
      </c>
      <c r="R49" s="70">
        <v>15</v>
      </c>
      <c r="S49" s="70">
        <v>12</v>
      </c>
      <c r="T49" s="80">
        <v>14</v>
      </c>
      <c r="U49" s="70">
        <v>15.5</v>
      </c>
      <c r="V49" s="70">
        <v>14</v>
      </c>
      <c r="W49" s="70">
        <v>12</v>
      </c>
      <c r="X49" s="70">
        <v>14</v>
      </c>
      <c r="Y49" s="70">
        <v>15.5</v>
      </c>
      <c r="Z49" s="70">
        <v>14.5</v>
      </c>
    </row>
    <row r="50" spans="1:38" ht="27.75" customHeight="1" x14ac:dyDescent="0.4">
      <c r="A50" s="69"/>
      <c r="B50" s="48" t="s">
        <v>17</v>
      </c>
      <c r="C50" s="70">
        <v>13.946428571428569</v>
      </c>
      <c r="D50" s="70">
        <v>11.484375</v>
      </c>
      <c r="E50" s="70">
        <v>13.071428571428569</v>
      </c>
      <c r="F50" s="80">
        <v>0</v>
      </c>
      <c r="G50" s="70">
        <v>10.61290322580645</v>
      </c>
      <c r="H50" s="70">
        <v>12.22413793103448</v>
      </c>
      <c r="I50" s="70">
        <v>12.40384615384615</v>
      </c>
      <c r="J50" s="70">
        <v>8.0111111111111111</v>
      </c>
      <c r="K50" s="70">
        <v>9.5357142857142865</v>
      </c>
      <c r="L50" s="80">
        <v>0</v>
      </c>
      <c r="M50" s="70">
        <v>12.69354838709677</v>
      </c>
      <c r="N50" s="70">
        <v>11.12903225806452</v>
      </c>
      <c r="O50" s="70">
        <v>10.12222222222222</v>
      </c>
      <c r="P50" s="70">
        <v>5.0714285714285712</v>
      </c>
      <c r="Q50" s="70">
        <v>12.796296296296299</v>
      </c>
      <c r="R50" s="70">
        <v>7.666666666666667</v>
      </c>
      <c r="S50" s="70">
        <v>8.9166666666666661</v>
      </c>
      <c r="T50" s="80">
        <v>0</v>
      </c>
      <c r="U50" s="70">
        <v>12.03225806451613</v>
      </c>
      <c r="V50" s="70">
        <v>7.4642857142857144</v>
      </c>
      <c r="W50" s="70">
        <v>8.5833333333333339</v>
      </c>
      <c r="X50" s="70">
        <v>10.357142857142859</v>
      </c>
      <c r="Y50" s="70">
        <v>14.38709677419355</v>
      </c>
      <c r="Z50" s="70">
        <v>12.379310344827591</v>
      </c>
      <c r="AA50" s="49">
        <f>SUM(C50:Z50)</f>
        <v>224.88923300711048</v>
      </c>
      <c r="AC50" s="48" t="s">
        <v>18</v>
      </c>
      <c r="AE50" s="48">
        <f>AG48/11.5</f>
        <v>27.173913043478262</v>
      </c>
    </row>
    <row r="51" spans="1:38" ht="27.75" customHeight="1" x14ac:dyDescent="0.4">
      <c r="A51" s="69"/>
      <c r="B51" s="48" t="s">
        <v>19</v>
      </c>
      <c r="C51" s="70">
        <v>11.5</v>
      </c>
      <c r="D51" s="70">
        <v>11.5</v>
      </c>
      <c r="E51" s="70">
        <v>11.5</v>
      </c>
      <c r="F51" s="80">
        <v>0</v>
      </c>
      <c r="G51" s="70">
        <v>11.5</v>
      </c>
      <c r="H51" s="70">
        <v>11.5</v>
      </c>
      <c r="I51" s="70">
        <v>11.5</v>
      </c>
      <c r="J51" s="70">
        <v>11.5</v>
      </c>
      <c r="K51" s="70">
        <v>11.5</v>
      </c>
      <c r="L51" s="80">
        <v>0</v>
      </c>
      <c r="M51" s="70">
        <v>11.5</v>
      </c>
      <c r="N51" s="70">
        <v>11.5</v>
      </c>
      <c r="O51" s="70">
        <v>11.5</v>
      </c>
      <c r="P51" s="70">
        <v>11.5</v>
      </c>
      <c r="Q51" s="70">
        <v>11.5</v>
      </c>
      <c r="R51" s="70">
        <v>11.5</v>
      </c>
      <c r="S51" s="70">
        <v>11.5</v>
      </c>
      <c r="T51" s="80">
        <v>0</v>
      </c>
      <c r="U51" s="70">
        <v>11.5</v>
      </c>
      <c r="V51" s="70">
        <v>11.5</v>
      </c>
      <c r="W51" s="70">
        <v>11.5</v>
      </c>
      <c r="X51" s="70">
        <v>11.5</v>
      </c>
      <c r="Y51" s="70">
        <v>11.5</v>
      </c>
      <c r="Z51" s="70">
        <v>11.5</v>
      </c>
      <c r="AA51" s="49">
        <f>SUM(C51:Z51)</f>
        <v>241.5</v>
      </c>
      <c r="AC51" s="48" t="s">
        <v>20</v>
      </c>
      <c r="AE51" s="48">
        <f>AA52*AE50</f>
        <v>-138.87953785025792</v>
      </c>
    </row>
    <row r="52" spans="1:38" ht="27.75" customHeight="1" x14ac:dyDescent="0.4">
      <c r="A52" s="71"/>
      <c r="B52" s="72" t="s">
        <v>21</v>
      </c>
      <c r="C52" s="73">
        <v>2.4464285714285712</v>
      </c>
      <c r="D52" s="73">
        <v>-1.5625E-2</v>
      </c>
      <c r="E52" s="73">
        <v>1.571428571428571</v>
      </c>
      <c r="F52" s="81">
        <v>0</v>
      </c>
      <c r="G52" s="73">
        <v>10.61290322580645</v>
      </c>
      <c r="H52" s="73">
        <v>0.72413793103448221</v>
      </c>
      <c r="I52" s="73">
        <v>0.9038461538461533</v>
      </c>
      <c r="J52" s="73">
        <v>-3.4888888888888889</v>
      </c>
      <c r="K52" s="73">
        <v>-1.964285714285714</v>
      </c>
      <c r="L52" s="81">
        <v>0</v>
      </c>
      <c r="M52" s="73">
        <v>1.193548387096774</v>
      </c>
      <c r="N52" s="73">
        <v>-0.37096774193548399</v>
      </c>
      <c r="O52" s="73">
        <v>-1.377777777777776</v>
      </c>
      <c r="P52" s="73">
        <v>-6.4285714285714288</v>
      </c>
      <c r="Q52" s="73">
        <v>1.2962962962962961</v>
      </c>
      <c r="R52" s="73">
        <v>-3.833333333333333</v>
      </c>
      <c r="S52" s="73">
        <v>-2.5833333333333339</v>
      </c>
      <c r="T52" s="81">
        <v>0</v>
      </c>
      <c r="U52" s="73">
        <v>0.53225806451612989</v>
      </c>
      <c r="V52" s="73">
        <v>-4.0357142857142856</v>
      </c>
      <c r="W52" s="73">
        <v>-2.9166666666666661</v>
      </c>
      <c r="X52" s="73">
        <v>-1.1428571428571419</v>
      </c>
      <c r="Y52" s="73">
        <v>2.887096774193548</v>
      </c>
      <c r="Z52" s="73">
        <v>0.87931034482758541</v>
      </c>
      <c r="AA52" s="49">
        <f>SUM(C52:Z52)</f>
        <v>-5.1107669928894914</v>
      </c>
    </row>
    <row r="53" spans="1:38" ht="27.75" customHeight="1" x14ac:dyDescent="0.4"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38" ht="27.75" customHeight="1" x14ac:dyDescent="0.4">
      <c r="B54" s="48" t="s">
        <v>32</v>
      </c>
      <c r="C54" s="50">
        <v>2.02</v>
      </c>
      <c r="D54" s="51">
        <v>3.02</v>
      </c>
      <c r="E54" s="51">
        <v>4.0199999999999996</v>
      </c>
      <c r="F54" s="51">
        <v>5.0199999999999996</v>
      </c>
      <c r="G54" s="51">
        <v>6.02</v>
      </c>
      <c r="H54" s="51">
        <v>7.02</v>
      </c>
      <c r="I54" s="51">
        <v>9.02</v>
      </c>
      <c r="J54" s="51">
        <v>10.02</v>
      </c>
      <c r="K54" s="51">
        <v>11.02</v>
      </c>
      <c r="L54" s="51">
        <v>12.02</v>
      </c>
      <c r="M54" s="51">
        <v>13.02</v>
      </c>
      <c r="N54" s="51">
        <v>14.02</v>
      </c>
      <c r="O54" s="51">
        <v>16.02</v>
      </c>
      <c r="P54" s="51">
        <v>17.02</v>
      </c>
      <c r="Q54" s="51">
        <v>18.02</v>
      </c>
      <c r="R54" s="51">
        <v>19.02</v>
      </c>
      <c r="S54" s="75">
        <v>20.02</v>
      </c>
      <c r="T54" s="75">
        <v>21.02</v>
      </c>
      <c r="U54" s="51">
        <v>23.02</v>
      </c>
      <c r="V54" s="51">
        <v>24.02</v>
      </c>
      <c r="W54" s="51">
        <v>25.02</v>
      </c>
      <c r="X54" s="52">
        <v>26.02</v>
      </c>
      <c r="Y54" s="53">
        <v>27.02</v>
      </c>
      <c r="Z54" s="53">
        <v>28.02</v>
      </c>
      <c r="AA54" s="54" t="s">
        <v>1</v>
      </c>
      <c r="AB54" s="55" t="s">
        <v>2</v>
      </c>
      <c r="AC54" s="56" t="s">
        <v>3</v>
      </c>
      <c r="AD54" s="57" t="s">
        <v>4</v>
      </c>
      <c r="AE54" s="57" t="s">
        <v>5</v>
      </c>
      <c r="AF54" s="55" t="s">
        <v>6</v>
      </c>
      <c r="AG54" s="55" t="s">
        <v>7</v>
      </c>
      <c r="AH54" s="58" t="s">
        <v>8</v>
      </c>
      <c r="AI54" s="55" t="s">
        <v>9</v>
      </c>
      <c r="AJ54" s="55" t="s">
        <v>10</v>
      </c>
      <c r="AK54" s="59" t="s">
        <v>11</v>
      </c>
      <c r="AL54" s="55" t="s">
        <v>12</v>
      </c>
    </row>
    <row r="55" spans="1:38" ht="45.75" customHeight="1" x14ac:dyDescent="0.6">
      <c r="A55" s="60">
        <v>6</v>
      </c>
      <c r="B55" s="61" t="s">
        <v>33</v>
      </c>
      <c r="C55" s="62">
        <v>195.25</v>
      </c>
      <c r="D55" s="62">
        <v>183.75</v>
      </c>
      <c r="E55" s="63">
        <v>183</v>
      </c>
      <c r="F55" s="62">
        <v>132.83333333333329</v>
      </c>
      <c r="G55" s="62">
        <v>164.5</v>
      </c>
      <c r="H55" s="62">
        <v>177.25</v>
      </c>
      <c r="I55" s="62">
        <v>161.25</v>
      </c>
      <c r="J55" s="62">
        <v>120.1666666666667</v>
      </c>
      <c r="K55" s="62">
        <v>133.5</v>
      </c>
      <c r="L55" s="62">
        <v>181</v>
      </c>
      <c r="M55" s="62">
        <v>196.75</v>
      </c>
      <c r="N55" s="62">
        <v>172.5</v>
      </c>
      <c r="O55" s="62">
        <v>151.83333333333329</v>
      </c>
      <c r="P55" s="62">
        <v>71</v>
      </c>
      <c r="Q55" s="62">
        <v>172.75</v>
      </c>
      <c r="R55" s="62">
        <v>115</v>
      </c>
      <c r="S55" s="79">
        <v>0</v>
      </c>
      <c r="T55" s="79">
        <v>0</v>
      </c>
      <c r="U55" s="62">
        <v>186.5</v>
      </c>
      <c r="V55" s="62">
        <v>104.5</v>
      </c>
      <c r="W55" s="62">
        <v>103</v>
      </c>
      <c r="X55" s="62">
        <v>145</v>
      </c>
      <c r="Y55" s="62">
        <v>223</v>
      </c>
      <c r="Z55" s="62">
        <v>179.5</v>
      </c>
      <c r="AA55" s="64">
        <f>SUM(C55:Z55)</f>
        <v>3453.8333333333335</v>
      </c>
      <c r="AB55" s="65">
        <v>22</v>
      </c>
      <c r="AC55" s="65">
        <f>AB55*166</f>
        <v>3652</v>
      </c>
      <c r="AD55" s="65">
        <f>AA55-AC55</f>
        <v>-198.16666666666652</v>
      </c>
      <c r="AE55" s="65">
        <v>24</v>
      </c>
      <c r="AF55" s="65">
        <f>AD55/175</f>
        <v>-1.1323809523809516</v>
      </c>
      <c r="AG55" s="65">
        <f>AI55/AE55</f>
        <v>354.16666666666669</v>
      </c>
      <c r="AH55" s="66">
        <f>AG55*AF55</f>
        <v>-401.05158730158706</v>
      </c>
      <c r="AI55" s="65">
        <v>8500</v>
      </c>
      <c r="AJ55" s="67">
        <f>AI55+AH55</f>
        <v>8098.9484126984125</v>
      </c>
      <c r="AK55" s="61" t="s">
        <v>33</v>
      </c>
      <c r="AL55" s="84"/>
    </row>
    <row r="56" spans="1:38" ht="27.75" customHeight="1" x14ac:dyDescent="0.4">
      <c r="A56" s="69"/>
      <c r="B56" s="48" t="s">
        <v>16</v>
      </c>
      <c r="C56" s="70">
        <v>14</v>
      </c>
      <c r="D56" s="70">
        <v>16</v>
      </c>
      <c r="E56" s="70">
        <v>14</v>
      </c>
      <c r="F56" s="70">
        <v>14.5</v>
      </c>
      <c r="G56" s="70">
        <v>15.5</v>
      </c>
      <c r="H56" s="70">
        <v>14.5</v>
      </c>
      <c r="I56" s="70">
        <v>13</v>
      </c>
      <c r="J56" s="70">
        <v>15</v>
      </c>
      <c r="K56" s="70">
        <v>14</v>
      </c>
      <c r="L56" s="70">
        <v>14.5</v>
      </c>
      <c r="M56" s="70">
        <v>15.5</v>
      </c>
      <c r="N56" s="70">
        <v>15.5</v>
      </c>
      <c r="O56" s="70">
        <v>15</v>
      </c>
      <c r="P56" s="70">
        <v>14</v>
      </c>
      <c r="Q56" s="70">
        <v>13.5</v>
      </c>
      <c r="R56" s="70">
        <v>15</v>
      </c>
      <c r="S56" s="80">
        <v>12</v>
      </c>
      <c r="T56" s="80">
        <v>14</v>
      </c>
      <c r="U56" s="70">
        <v>15.5</v>
      </c>
      <c r="V56" s="70">
        <v>14</v>
      </c>
      <c r="W56" s="70">
        <v>12</v>
      </c>
      <c r="X56" s="70">
        <v>14</v>
      </c>
      <c r="Y56" s="70">
        <v>15.5</v>
      </c>
      <c r="Z56" s="70">
        <v>14.5</v>
      </c>
    </row>
    <row r="57" spans="1:38" ht="27.75" customHeight="1" x14ac:dyDescent="0.4">
      <c r="A57" s="69"/>
      <c r="B57" s="48" t="s">
        <v>17</v>
      </c>
      <c r="C57" s="70">
        <v>13.946428571428569</v>
      </c>
      <c r="D57" s="70">
        <v>11.484375</v>
      </c>
      <c r="E57" s="70">
        <v>13.071428571428569</v>
      </c>
      <c r="F57" s="70">
        <v>9.1609195402298855</v>
      </c>
      <c r="G57" s="70">
        <v>10.61290322580645</v>
      </c>
      <c r="H57" s="70">
        <v>12.22413793103448</v>
      </c>
      <c r="I57" s="70">
        <v>12.40384615384615</v>
      </c>
      <c r="J57" s="70">
        <v>8.0111111111111111</v>
      </c>
      <c r="K57" s="70">
        <v>9.5357142857142865</v>
      </c>
      <c r="L57" s="70">
        <v>12.482758620689649</v>
      </c>
      <c r="M57" s="70">
        <v>12.69354838709677</v>
      </c>
      <c r="N57" s="70">
        <v>11.12903225806452</v>
      </c>
      <c r="O57" s="70">
        <v>10.12222222222222</v>
      </c>
      <c r="P57" s="70">
        <v>5.0714285714285712</v>
      </c>
      <c r="Q57" s="70">
        <v>12.796296296296299</v>
      </c>
      <c r="R57" s="70">
        <v>7.666666666666667</v>
      </c>
      <c r="S57" s="80">
        <v>0</v>
      </c>
      <c r="T57" s="80">
        <v>0</v>
      </c>
      <c r="U57" s="70">
        <v>12.03225806451613</v>
      </c>
      <c r="V57" s="70">
        <v>7.4642857142857144</v>
      </c>
      <c r="W57" s="70">
        <v>8.5833333333333339</v>
      </c>
      <c r="X57" s="70">
        <v>10.357142857142859</v>
      </c>
      <c r="Y57" s="70">
        <v>14.38709677419355</v>
      </c>
      <c r="Z57" s="70">
        <v>12.379310344827591</v>
      </c>
      <c r="AA57" s="49">
        <f>SUM(C57:Z57)</f>
        <v>237.61624450136338</v>
      </c>
      <c r="AC57" s="48" t="s">
        <v>18</v>
      </c>
      <c r="AE57" s="48">
        <f>AG55/11.5</f>
        <v>30.797101449275363</v>
      </c>
    </row>
    <row r="58" spans="1:38" ht="27.75" customHeight="1" x14ac:dyDescent="0.4">
      <c r="A58" s="69"/>
      <c r="B58" s="48" t="s">
        <v>19</v>
      </c>
      <c r="C58" s="70">
        <v>11.5</v>
      </c>
      <c r="D58" s="70">
        <v>11.5</v>
      </c>
      <c r="E58" s="70">
        <v>11.5</v>
      </c>
      <c r="F58" s="70">
        <v>11.5</v>
      </c>
      <c r="G58" s="70">
        <v>11.5</v>
      </c>
      <c r="H58" s="70">
        <v>11.5</v>
      </c>
      <c r="I58" s="70">
        <v>11.5</v>
      </c>
      <c r="J58" s="70">
        <v>11.5</v>
      </c>
      <c r="K58" s="70">
        <v>11.5</v>
      </c>
      <c r="L58" s="70">
        <v>11.5</v>
      </c>
      <c r="M58" s="70">
        <v>11.5</v>
      </c>
      <c r="N58" s="70">
        <v>11.5</v>
      </c>
      <c r="O58" s="70">
        <v>11.5</v>
      </c>
      <c r="P58" s="70">
        <v>11.5</v>
      </c>
      <c r="Q58" s="70">
        <v>11.5</v>
      </c>
      <c r="R58" s="70">
        <v>11.5</v>
      </c>
      <c r="S58" s="80">
        <v>0</v>
      </c>
      <c r="T58" s="80">
        <v>0</v>
      </c>
      <c r="U58" s="70">
        <v>11.5</v>
      </c>
      <c r="V58" s="70">
        <v>11.5</v>
      </c>
      <c r="W58" s="70">
        <v>11.5</v>
      </c>
      <c r="X58" s="70">
        <v>11.5</v>
      </c>
      <c r="Y58" s="70">
        <v>11.5</v>
      </c>
      <c r="Z58" s="70">
        <v>11.5</v>
      </c>
      <c r="AA58" s="49">
        <f>SUM(C58:Z58)</f>
        <v>253</v>
      </c>
      <c r="AC58" s="48" t="s">
        <v>20</v>
      </c>
      <c r="AE58" s="48">
        <f>AA59*AE57</f>
        <v>-119.60841209569293</v>
      </c>
    </row>
    <row r="59" spans="1:38" ht="27.75" customHeight="1" x14ac:dyDescent="0.4">
      <c r="A59" s="71"/>
      <c r="B59" s="72" t="s">
        <v>21</v>
      </c>
      <c r="C59" s="73">
        <v>2.4464285714285712</v>
      </c>
      <c r="D59" s="73">
        <v>-1.5625E-2</v>
      </c>
      <c r="E59" s="73">
        <v>1.571428571428571</v>
      </c>
      <c r="F59" s="73">
        <v>-2.339080459770114</v>
      </c>
      <c r="G59" s="73">
        <v>10.61290322580645</v>
      </c>
      <c r="H59" s="73">
        <v>0.72413793103448221</v>
      </c>
      <c r="I59" s="73">
        <v>0.9038461538461533</v>
      </c>
      <c r="J59" s="73">
        <v>-3.4888888888888889</v>
      </c>
      <c r="K59" s="73">
        <v>-1.964285714285714</v>
      </c>
      <c r="L59" s="73">
        <v>0.9827586206896548</v>
      </c>
      <c r="M59" s="73">
        <v>1.193548387096774</v>
      </c>
      <c r="N59" s="73">
        <v>-0.37096774193548399</v>
      </c>
      <c r="O59" s="73">
        <v>-1.377777777777776</v>
      </c>
      <c r="P59" s="73">
        <v>-6.4285714285714288</v>
      </c>
      <c r="Q59" s="73">
        <v>1.2962962962962961</v>
      </c>
      <c r="R59" s="73">
        <v>-3.833333333333333</v>
      </c>
      <c r="S59" s="81">
        <v>0</v>
      </c>
      <c r="T59" s="81">
        <v>0</v>
      </c>
      <c r="U59" s="73">
        <v>0.53225806451612989</v>
      </c>
      <c r="V59" s="73">
        <v>-4.0357142857142856</v>
      </c>
      <c r="W59" s="73">
        <v>-2.9166666666666661</v>
      </c>
      <c r="X59" s="73">
        <v>-1.1428571428571419</v>
      </c>
      <c r="Y59" s="73">
        <v>2.887096774193548</v>
      </c>
      <c r="Z59" s="73">
        <v>0.87931034482758541</v>
      </c>
      <c r="AA59" s="49">
        <f>SUM(C59:Z59)</f>
        <v>-3.8837554986366172</v>
      </c>
    </row>
    <row r="60" spans="1:38" ht="27.75" customHeight="1" x14ac:dyDescent="0.4"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38" ht="27.75" customHeight="1" x14ac:dyDescent="0.4"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38" ht="27.75" customHeight="1" x14ac:dyDescent="0.4">
      <c r="B62" s="48" t="s">
        <v>34</v>
      </c>
      <c r="C62" s="90">
        <v>2.02</v>
      </c>
      <c r="D62" s="51">
        <v>3.02</v>
      </c>
      <c r="E62" s="51">
        <v>4.0199999999999996</v>
      </c>
      <c r="F62" s="51">
        <v>5.0199999999999996</v>
      </c>
      <c r="G62" s="51">
        <v>6.02</v>
      </c>
      <c r="H62" s="51">
        <v>7.02</v>
      </c>
      <c r="I62" s="51">
        <v>9.02</v>
      </c>
      <c r="J62" s="51">
        <v>10.02</v>
      </c>
      <c r="K62" s="51">
        <v>11.02</v>
      </c>
      <c r="L62" s="51">
        <v>12.02</v>
      </c>
      <c r="M62" s="51">
        <v>13.02</v>
      </c>
      <c r="N62" s="51">
        <v>14.02</v>
      </c>
      <c r="O62" s="51">
        <v>16.02</v>
      </c>
      <c r="P62" s="51">
        <v>17.02</v>
      </c>
      <c r="Q62" s="75">
        <v>18.02</v>
      </c>
      <c r="R62" s="75">
        <v>19.02</v>
      </c>
      <c r="S62" s="51">
        <v>20.02</v>
      </c>
      <c r="T62" s="51">
        <v>21.02</v>
      </c>
      <c r="U62" s="51">
        <v>23.02</v>
      </c>
      <c r="V62" s="75">
        <v>24.02</v>
      </c>
      <c r="W62" s="51">
        <v>25.02</v>
      </c>
      <c r="X62" s="52">
        <v>26.02</v>
      </c>
      <c r="Y62" s="53">
        <v>27.02</v>
      </c>
      <c r="Z62" s="53">
        <v>28.02</v>
      </c>
      <c r="AA62" s="54" t="s">
        <v>1</v>
      </c>
      <c r="AB62" s="55" t="s">
        <v>2</v>
      </c>
      <c r="AC62" s="56" t="s">
        <v>3</v>
      </c>
      <c r="AD62" s="57" t="s">
        <v>4</v>
      </c>
      <c r="AE62" s="57" t="s">
        <v>5</v>
      </c>
      <c r="AF62" s="55" t="s">
        <v>6</v>
      </c>
      <c r="AG62" s="55" t="s">
        <v>7</v>
      </c>
      <c r="AH62" s="58" t="s">
        <v>8</v>
      </c>
      <c r="AI62" s="55" t="s">
        <v>9</v>
      </c>
      <c r="AJ62" s="55" t="s">
        <v>10</v>
      </c>
      <c r="AK62" s="59" t="s">
        <v>11</v>
      </c>
      <c r="AL62" s="55" t="s">
        <v>12</v>
      </c>
    </row>
    <row r="63" spans="1:38" ht="41.25" customHeight="1" x14ac:dyDescent="0.6">
      <c r="A63" s="60">
        <v>7</v>
      </c>
      <c r="B63" s="61" t="s">
        <v>35</v>
      </c>
      <c r="C63" s="79">
        <v>0</v>
      </c>
      <c r="D63" s="62">
        <v>183.75</v>
      </c>
      <c r="E63" s="63">
        <v>183</v>
      </c>
      <c r="F63" s="62">
        <v>132.83333333333329</v>
      </c>
      <c r="G63" s="62">
        <v>164.5</v>
      </c>
      <c r="H63" s="62">
        <v>177.25</v>
      </c>
      <c r="I63" s="62">
        <v>161.25</v>
      </c>
      <c r="J63" s="62">
        <v>120.1666666666667</v>
      </c>
      <c r="K63" s="62">
        <v>133.5</v>
      </c>
      <c r="L63" s="62">
        <v>181</v>
      </c>
      <c r="M63" s="62">
        <v>196.75</v>
      </c>
      <c r="N63" s="62">
        <v>172.5</v>
      </c>
      <c r="O63" s="62">
        <v>151.83333333333329</v>
      </c>
      <c r="P63" s="62">
        <v>71</v>
      </c>
      <c r="Q63" s="79"/>
      <c r="R63" s="79"/>
      <c r="S63" s="62">
        <v>107</v>
      </c>
      <c r="T63" s="62">
        <v>140</v>
      </c>
      <c r="U63" s="62">
        <v>186.5</v>
      </c>
      <c r="V63" s="79"/>
      <c r="W63" s="62">
        <v>103</v>
      </c>
      <c r="X63" s="62">
        <v>145</v>
      </c>
      <c r="Y63" s="62">
        <v>223</v>
      </c>
      <c r="Z63" s="62">
        <v>179.5</v>
      </c>
      <c r="AA63" s="64">
        <f>SUM(C63:Z63)</f>
        <v>3113.333333333333</v>
      </c>
      <c r="AB63" s="65">
        <v>20</v>
      </c>
      <c r="AC63" s="65">
        <f>AB63*166</f>
        <v>3320</v>
      </c>
      <c r="AD63" s="65">
        <f>AA63-AC63</f>
        <v>-206.66666666666697</v>
      </c>
      <c r="AE63" s="65">
        <v>24</v>
      </c>
      <c r="AF63" s="65">
        <f>AD63/175</f>
        <v>-1.1809523809523828</v>
      </c>
      <c r="AG63" s="65">
        <f>AI63/AE63</f>
        <v>333.33333333333331</v>
      </c>
      <c r="AH63" s="66">
        <f>AG63*AF63</f>
        <v>-393.65079365079424</v>
      </c>
      <c r="AI63" s="65">
        <v>8000</v>
      </c>
      <c r="AJ63" s="67">
        <f>AI63+AH63</f>
        <v>7606.3492063492058</v>
      </c>
      <c r="AK63" s="61" t="s">
        <v>35</v>
      </c>
      <c r="AL63" s="68"/>
    </row>
    <row r="64" spans="1:38" ht="27.75" customHeight="1" x14ac:dyDescent="0.4">
      <c r="A64" s="69"/>
      <c r="B64" s="48" t="s">
        <v>16</v>
      </c>
      <c r="C64" s="80">
        <v>14</v>
      </c>
      <c r="D64" s="70">
        <v>16</v>
      </c>
      <c r="E64" s="70">
        <v>14</v>
      </c>
      <c r="F64" s="70">
        <v>14.5</v>
      </c>
      <c r="G64" s="70">
        <v>15.5</v>
      </c>
      <c r="H64" s="70">
        <v>14.5</v>
      </c>
      <c r="I64" s="70">
        <v>13</v>
      </c>
      <c r="J64" s="70">
        <v>15</v>
      </c>
      <c r="K64" s="70">
        <v>14</v>
      </c>
      <c r="L64" s="70">
        <v>14.5</v>
      </c>
      <c r="M64" s="70">
        <v>15.5</v>
      </c>
      <c r="N64" s="70">
        <v>15.5</v>
      </c>
      <c r="O64" s="70">
        <v>15</v>
      </c>
      <c r="P64" s="70">
        <v>14</v>
      </c>
      <c r="Q64" s="80">
        <v>0</v>
      </c>
      <c r="R64" s="80">
        <v>0</v>
      </c>
      <c r="S64" s="70">
        <v>12</v>
      </c>
      <c r="T64" s="70">
        <v>14</v>
      </c>
      <c r="U64" s="70">
        <v>15.5</v>
      </c>
      <c r="V64" s="80">
        <v>0</v>
      </c>
      <c r="W64" s="70">
        <v>12</v>
      </c>
      <c r="X64" s="70">
        <v>14</v>
      </c>
      <c r="Y64" s="70">
        <v>15.5</v>
      </c>
      <c r="Z64" s="70">
        <v>14.5</v>
      </c>
    </row>
    <row r="65" spans="1:38" ht="27.75" customHeight="1" x14ac:dyDescent="0.4">
      <c r="A65" s="69"/>
      <c r="B65" s="48" t="s">
        <v>17</v>
      </c>
      <c r="C65" s="80">
        <v>0</v>
      </c>
      <c r="D65" s="70">
        <v>11.484375</v>
      </c>
      <c r="E65" s="70">
        <v>13.071428571428569</v>
      </c>
      <c r="F65" s="70">
        <v>9.1609195402298855</v>
      </c>
      <c r="G65" s="70">
        <v>10.61290322580645</v>
      </c>
      <c r="H65" s="70">
        <v>12.22413793103448</v>
      </c>
      <c r="I65" s="70">
        <v>12.40384615384615</v>
      </c>
      <c r="J65" s="70">
        <v>8.0111111111111111</v>
      </c>
      <c r="K65" s="70">
        <v>9.5357142857142865</v>
      </c>
      <c r="L65" s="70">
        <v>12.482758620689649</v>
      </c>
      <c r="M65" s="70">
        <v>12.69354838709677</v>
      </c>
      <c r="N65" s="70">
        <v>11.12903225806452</v>
      </c>
      <c r="O65" s="70">
        <v>10.12222222222222</v>
      </c>
      <c r="P65" s="70">
        <v>5.0714285714285712</v>
      </c>
      <c r="Q65" s="80"/>
      <c r="R65" s="80"/>
      <c r="S65" s="70">
        <v>8.9166666666666661</v>
      </c>
      <c r="T65" s="70">
        <v>10</v>
      </c>
      <c r="U65" s="70">
        <v>12.03225806451613</v>
      </c>
      <c r="V65" s="80"/>
      <c r="W65" s="70">
        <v>8.5833333333333339</v>
      </c>
      <c r="X65" s="70">
        <v>10.357142857142859</v>
      </c>
      <c r="Y65" s="70">
        <v>14.38709677419355</v>
      </c>
      <c r="Z65" s="70">
        <v>12.379310344827591</v>
      </c>
      <c r="AA65" s="49">
        <f>SUM(C65:Z65)</f>
        <v>214.6592339193528</v>
      </c>
      <c r="AC65" s="48" t="s">
        <v>18</v>
      </c>
      <c r="AE65" s="48">
        <f>AG63/11.5</f>
        <v>28.985507246376809</v>
      </c>
    </row>
    <row r="66" spans="1:38" ht="27.75" customHeight="1" x14ac:dyDescent="0.4">
      <c r="A66" s="69"/>
      <c r="B66" s="48" t="s">
        <v>19</v>
      </c>
      <c r="C66" s="80">
        <v>0</v>
      </c>
      <c r="D66" s="70">
        <v>11.5</v>
      </c>
      <c r="E66" s="70">
        <v>11.5</v>
      </c>
      <c r="F66" s="70">
        <v>11.5</v>
      </c>
      <c r="G66" s="70">
        <v>11.5</v>
      </c>
      <c r="H66" s="70">
        <v>11.5</v>
      </c>
      <c r="I66" s="70">
        <v>11.5</v>
      </c>
      <c r="J66" s="70">
        <v>11.5</v>
      </c>
      <c r="K66" s="70">
        <v>11.5</v>
      </c>
      <c r="L66" s="70">
        <v>11.5</v>
      </c>
      <c r="M66" s="70">
        <v>11.5</v>
      </c>
      <c r="N66" s="70">
        <v>11.5</v>
      </c>
      <c r="O66" s="70">
        <v>11.5</v>
      </c>
      <c r="P66" s="70">
        <v>11.5</v>
      </c>
      <c r="Q66" s="80"/>
      <c r="R66" s="80"/>
      <c r="S66" s="70">
        <v>11.5</v>
      </c>
      <c r="T66" s="70">
        <v>11.5</v>
      </c>
      <c r="U66" s="70">
        <v>11.5</v>
      </c>
      <c r="V66" s="80"/>
      <c r="W66" s="70">
        <v>11.5</v>
      </c>
      <c r="X66" s="70">
        <v>11.5</v>
      </c>
      <c r="Y66" s="70">
        <v>11.5</v>
      </c>
      <c r="Z66" s="70">
        <v>11.5</v>
      </c>
      <c r="AA66" s="49">
        <f>SUM(C66:Z66)</f>
        <v>230</v>
      </c>
      <c r="AC66" s="48" t="s">
        <v>20</v>
      </c>
      <c r="AE66" s="48">
        <f>AA67*AE65</f>
        <v>-111.32655306223765</v>
      </c>
    </row>
    <row r="67" spans="1:38" ht="27.75" customHeight="1" x14ac:dyDescent="0.4">
      <c r="A67" s="71"/>
      <c r="B67" s="72" t="s">
        <v>21</v>
      </c>
      <c r="C67" s="81">
        <v>0</v>
      </c>
      <c r="D67" s="73">
        <v>-1.5625E-2</v>
      </c>
      <c r="E67" s="73">
        <v>1.571428571428571</v>
      </c>
      <c r="F67" s="73">
        <v>-2.339080459770114</v>
      </c>
      <c r="G67" s="73">
        <v>10.61290322580645</v>
      </c>
      <c r="H67" s="73">
        <v>0.72413793103448221</v>
      </c>
      <c r="I67" s="73">
        <v>0.9038461538461533</v>
      </c>
      <c r="J67" s="73">
        <v>-3.4888888888888889</v>
      </c>
      <c r="K67" s="73">
        <v>-1.964285714285714</v>
      </c>
      <c r="L67" s="73">
        <v>0.9827586206896548</v>
      </c>
      <c r="M67" s="73">
        <v>1.193548387096774</v>
      </c>
      <c r="N67" s="73">
        <v>-0.37096774193548399</v>
      </c>
      <c r="O67" s="73">
        <v>-1.377777777777776</v>
      </c>
      <c r="P67" s="73">
        <v>-6.4285714285714288</v>
      </c>
      <c r="Q67" s="81"/>
      <c r="R67" s="81"/>
      <c r="S67" s="73">
        <v>-2.5833333333333339</v>
      </c>
      <c r="T67" s="73">
        <v>-1.5</v>
      </c>
      <c r="U67" s="73">
        <v>0.53225806451612989</v>
      </c>
      <c r="V67" s="81"/>
      <c r="W67" s="73">
        <v>-2.9166666666666661</v>
      </c>
      <c r="X67" s="73">
        <v>-1.1428571428571419</v>
      </c>
      <c r="Y67" s="73">
        <v>2.887096774193548</v>
      </c>
      <c r="Z67" s="73">
        <v>0.87931034482758541</v>
      </c>
      <c r="AA67" s="49">
        <f>SUM(C67:Z67)</f>
        <v>-3.8407660806471995</v>
      </c>
    </row>
    <row r="68" spans="1:38" ht="27.75" customHeight="1" x14ac:dyDescent="0.4"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38" ht="27.75" customHeight="1" x14ac:dyDescent="0.4"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38" ht="27.75" customHeight="1" x14ac:dyDescent="0.4">
      <c r="B70" s="48" t="s">
        <v>36</v>
      </c>
      <c r="C70" s="50">
        <v>2.02</v>
      </c>
      <c r="D70" s="51">
        <v>3.02</v>
      </c>
      <c r="E70" s="51">
        <v>4.0199999999999996</v>
      </c>
      <c r="F70" s="51">
        <v>5.0199999999999996</v>
      </c>
      <c r="G70" s="51">
        <v>6.02</v>
      </c>
      <c r="H70" s="51">
        <v>7.02</v>
      </c>
      <c r="I70" s="51">
        <v>9.02</v>
      </c>
      <c r="J70" s="51">
        <v>10.02</v>
      </c>
      <c r="K70" s="75">
        <v>11.02</v>
      </c>
      <c r="L70" s="51">
        <v>12.02</v>
      </c>
      <c r="M70" s="51">
        <v>13.02</v>
      </c>
      <c r="N70" s="51">
        <v>14.02</v>
      </c>
      <c r="O70" s="51">
        <v>16.02</v>
      </c>
      <c r="P70" s="51">
        <v>17.02</v>
      </c>
      <c r="Q70" s="51">
        <v>18.02</v>
      </c>
      <c r="R70" s="51">
        <v>19.02</v>
      </c>
      <c r="S70" s="51">
        <v>20.02</v>
      </c>
      <c r="T70" s="51">
        <v>21.02</v>
      </c>
      <c r="U70" s="51">
        <v>23.02</v>
      </c>
      <c r="V70" s="75">
        <v>24.02</v>
      </c>
      <c r="W70" s="51">
        <v>25.02</v>
      </c>
      <c r="X70" s="52">
        <v>26.02</v>
      </c>
      <c r="Y70" s="53">
        <v>27.02</v>
      </c>
      <c r="Z70" s="53">
        <v>28.02</v>
      </c>
      <c r="AA70" s="54" t="s">
        <v>1</v>
      </c>
      <c r="AB70" s="55" t="s">
        <v>2</v>
      </c>
      <c r="AC70" s="56" t="s">
        <v>3</v>
      </c>
      <c r="AD70" s="57" t="s">
        <v>4</v>
      </c>
      <c r="AE70" s="57" t="s">
        <v>5</v>
      </c>
      <c r="AF70" s="55" t="s">
        <v>6</v>
      </c>
      <c r="AG70" s="55" t="s">
        <v>7</v>
      </c>
      <c r="AH70" s="58" t="s">
        <v>8</v>
      </c>
      <c r="AI70" s="55" t="s">
        <v>9</v>
      </c>
      <c r="AJ70" s="55" t="s">
        <v>10</v>
      </c>
      <c r="AK70" s="59" t="s">
        <v>11</v>
      </c>
      <c r="AL70" s="55" t="s">
        <v>12</v>
      </c>
    </row>
    <row r="71" spans="1:38" ht="44.25" customHeight="1" x14ac:dyDescent="0.6">
      <c r="A71" s="60">
        <v>8</v>
      </c>
      <c r="B71" s="91" t="s">
        <v>37</v>
      </c>
      <c r="C71" s="62">
        <v>195.25</v>
      </c>
      <c r="D71" s="62">
        <v>183.75</v>
      </c>
      <c r="E71" s="63">
        <v>183</v>
      </c>
      <c r="F71" s="62">
        <v>132.83333333333329</v>
      </c>
      <c r="G71" s="62">
        <v>164.5</v>
      </c>
      <c r="H71" s="62">
        <v>177.25</v>
      </c>
      <c r="I71" s="62">
        <v>161.25</v>
      </c>
      <c r="J71" s="62">
        <v>120.1666666666667</v>
      </c>
      <c r="K71" s="79">
        <v>0</v>
      </c>
      <c r="L71" s="62">
        <v>181</v>
      </c>
      <c r="M71" s="62">
        <v>196.75</v>
      </c>
      <c r="N71" s="62">
        <v>172.5</v>
      </c>
      <c r="O71" s="62">
        <v>151.83333333333329</v>
      </c>
      <c r="P71" s="62">
        <v>71</v>
      </c>
      <c r="Q71" s="62">
        <v>172.75</v>
      </c>
      <c r="R71" s="62">
        <v>115</v>
      </c>
      <c r="S71" s="62">
        <v>107</v>
      </c>
      <c r="T71" s="62">
        <v>140</v>
      </c>
      <c r="U71" s="62">
        <v>186.5</v>
      </c>
      <c r="V71" s="79">
        <v>0</v>
      </c>
      <c r="W71" s="62">
        <v>103</v>
      </c>
      <c r="X71" s="62">
        <v>145</v>
      </c>
      <c r="Y71" s="62">
        <v>223</v>
      </c>
      <c r="Z71" s="62">
        <v>179.5</v>
      </c>
      <c r="AA71" s="64">
        <f>SUM(C71:Z71)</f>
        <v>3462.833333333333</v>
      </c>
      <c r="AB71" s="65">
        <v>22</v>
      </c>
      <c r="AC71" s="65">
        <f>AB71*166</f>
        <v>3652</v>
      </c>
      <c r="AD71" s="65">
        <f>AA71-AC71</f>
        <v>-189.16666666666697</v>
      </c>
      <c r="AE71" s="65">
        <v>24</v>
      </c>
      <c r="AF71" s="65">
        <f>AD71/175</f>
        <v>-1.0809523809523827</v>
      </c>
      <c r="AG71" s="65">
        <f>AI71/AE71</f>
        <v>291.66666666666669</v>
      </c>
      <c r="AH71" s="66">
        <f>AG71*AF71</f>
        <v>-315.27777777777828</v>
      </c>
      <c r="AI71" s="65">
        <v>7000</v>
      </c>
      <c r="AJ71" s="67">
        <f>AI71+AH71</f>
        <v>6684.7222222222217</v>
      </c>
      <c r="AK71" s="91" t="s">
        <v>37</v>
      </c>
      <c r="AL71" s="68"/>
    </row>
    <row r="72" spans="1:38" ht="27.75" customHeight="1" x14ac:dyDescent="0.4">
      <c r="A72" s="69"/>
      <c r="B72" s="48" t="s">
        <v>16</v>
      </c>
      <c r="C72" s="70">
        <v>14</v>
      </c>
      <c r="D72" s="70">
        <v>16</v>
      </c>
      <c r="E72" s="70">
        <v>14</v>
      </c>
      <c r="F72" s="70">
        <v>14.5</v>
      </c>
      <c r="G72" s="70">
        <v>15.5</v>
      </c>
      <c r="H72" s="70">
        <v>14.5</v>
      </c>
      <c r="I72" s="70">
        <v>13</v>
      </c>
      <c r="J72" s="70">
        <v>15</v>
      </c>
      <c r="K72" s="80">
        <v>14</v>
      </c>
      <c r="L72" s="70">
        <v>14.5</v>
      </c>
      <c r="M72" s="70">
        <v>15.5</v>
      </c>
      <c r="N72" s="70">
        <v>15.5</v>
      </c>
      <c r="O72" s="70">
        <v>15</v>
      </c>
      <c r="P72" s="70">
        <v>14</v>
      </c>
      <c r="Q72" s="70">
        <v>13.5</v>
      </c>
      <c r="R72" s="70">
        <v>15</v>
      </c>
      <c r="S72" s="70">
        <v>12</v>
      </c>
      <c r="T72" s="70">
        <v>14</v>
      </c>
      <c r="U72" s="70">
        <v>15.5</v>
      </c>
      <c r="V72" s="80">
        <v>14</v>
      </c>
      <c r="W72" s="70">
        <v>12</v>
      </c>
      <c r="X72" s="70">
        <v>14</v>
      </c>
      <c r="Y72" s="70">
        <v>15.5</v>
      </c>
      <c r="Z72" s="70">
        <v>14.5</v>
      </c>
    </row>
    <row r="73" spans="1:38" ht="27.75" customHeight="1" x14ac:dyDescent="0.4">
      <c r="A73" s="69"/>
      <c r="B73" s="48" t="s">
        <v>17</v>
      </c>
      <c r="C73" s="70">
        <v>13.946428571428569</v>
      </c>
      <c r="D73" s="70">
        <v>11.484375</v>
      </c>
      <c r="E73" s="70">
        <v>13.071428571428569</v>
      </c>
      <c r="F73" s="70">
        <v>9.1609195402298855</v>
      </c>
      <c r="G73" s="70">
        <v>10.61290322580645</v>
      </c>
      <c r="H73" s="70">
        <v>12.22413793103448</v>
      </c>
      <c r="I73" s="70">
        <v>12.40384615384615</v>
      </c>
      <c r="J73" s="70">
        <v>8.0111111111111111</v>
      </c>
      <c r="K73" s="80">
        <v>0</v>
      </c>
      <c r="L73" s="70">
        <v>12.482758620689649</v>
      </c>
      <c r="M73" s="70">
        <v>12.69354838709677</v>
      </c>
      <c r="N73" s="70">
        <v>11.12903225806452</v>
      </c>
      <c r="O73" s="70">
        <v>10.12222222222222</v>
      </c>
      <c r="P73" s="70">
        <v>5.0714285714285712</v>
      </c>
      <c r="Q73" s="70">
        <v>12.796296296296299</v>
      </c>
      <c r="R73" s="70">
        <v>7.666666666666667</v>
      </c>
      <c r="S73" s="70">
        <v>8.9166666666666661</v>
      </c>
      <c r="T73" s="70">
        <v>10</v>
      </c>
      <c r="U73" s="70">
        <v>12.03225806451613</v>
      </c>
      <c r="V73" s="80">
        <v>0</v>
      </c>
      <c r="W73" s="70">
        <v>8.5833333333333339</v>
      </c>
      <c r="X73" s="70">
        <v>10.357142857142859</v>
      </c>
      <c r="Y73" s="70">
        <v>14.38709677419355</v>
      </c>
      <c r="Z73" s="70">
        <v>12.379310344827591</v>
      </c>
      <c r="AA73" s="49">
        <f>SUM(C73:Z73)</f>
        <v>239.53291116803004</v>
      </c>
      <c r="AC73" s="48" t="s">
        <v>18</v>
      </c>
      <c r="AE73" s="48">
        <f>AG71/11.5</f>
        <v>25.362318840579711</v>
      </c>
    </row>
    <row r="74" spans="1:38" ht="27.75" customHeight="1" x14ac:dyDescent="0.4">
      <c r="A74" s="69"/>
      <c r="B74" s="48" t="s">
        <v>19</v>
      </c>
      <c r="C74" s="70">
        <v>11.5</v>
      </c>
      <c r="D74" s="70">
        <v>11.5</v>
      </c>
      <c r="E74" s="70">
        <v>11.5</v>
      </c>
      <c r="F74" s="70">
        <v>11.5</v>
      </c>
      <c r="G74" s="70">
        <v>11.5</v>
      </c>
      <c r="H74" s="70">
        <v>11.5</v>
      </c>
      <c r="I74" s="70">
        <v>11.5</v>
      </c>
      <c r="J74" s="70">
        <v>11.5</v>
      </c>
      <c r="K74" s="80">
        <v>0</v>
      </c>
      <c r="L74" s="70">
        <v>11.5</v>
      </c>
      <c r="M74" s="70">
        <v>11.5</v>
      </c>
      <c r="N74" s="70">
        <v>11.5</v>
      </c>
      <c r="O74" s="70">
        <v>11.5</v>
      </c>
      <c r="P74" s="70">
        <v>11.5</v>
      </c>
      <c r="Q74" s="70">
        <v>11.5</v>
      </c>
      <c r="R74" s="70">
        <v>11.5</v>
      </c>
      <c r="S74" s="70">
        <v>11.5</v>
      </c>
      <c r="T74" s="70">
        <v>11.5</v>
      </c>
      <c r="U74" s="70">
        <v>11.5</v>
      </c>
      <c r="V74" s="80">
        <v>0</v>
      </c>
      <c r="W74" s="70">
        <v>11.5</v>
      </c>
      <c r="X74" s="70">
        <v>11.5</v>
      </c>
      <c r="Y74" s="70">
        <v>11.5</v>
      </c>
      <c r="Z74" s="70">
        <v>11.5</v>
      </c>
      <c r="AA74" s="49">
        <f>SUM(C74:Z74)</f>
        <v>253</v>
      </c>
      <c r="AC74" s="48" t="s">
        <v>20</v>
      </c>
      <c r="AE74" s="48">
        <f>AA75*AE73</f>
        <v>-49.88993414416543</v>
      </c>
    </row>
    <row r="75" spans="1:38" ht="27.75" customHeight="1" x14ac:dyDescent="0.4">
      <c r="A75" s="71"/>
      <c r="B75" s="72" t="s">
        <v>21</v>
      </c>
      <c r="C75" s="73">
        <v>2.4464285714285712</v>
      </c>
      <c r="D75" s="73">
        <v>-1.5625E-2</v>
      </c>
      <c r="E75" s="73">
        <v>1.571428571428571</v>
      </c>
      <c r="F75" s="73">
        <v>-2.339080459770114</v>
      </c>
      <c r="G75" s="73">
        <v>10.61290322580645</v>
      </c>
      <c r="H75" s="73">
        <v>0.72413793103448221</v>
      </c>
      <c r="I75" s="73">
        <v>0.9038461538461533</v>
      </c>
      <c r="J75" s="73">
        <v>-3.4888888888888889</v>
      </c>
      <c r="K75" s="81">
        <v>0</v>
      </c>
      <c r="L75" s="73">
        <v>0.9827586206896548</v>
      </c>
      <c r="M75" s="73">
        <v>1.193548387096774</v>
      </c>
      <c r="N75" s="73">
        <v>-0.37096774193548399</v>
      </c>
      <c r="O75" s="73">
        <v>-1.377777777777776</v>
      </c>
      <c r="P75" s="73">
        <v>-6.4285714285714288</v>
      </c>
      <c r="Q75" s="73">
        <v>1.2962962962962961</v>
      </c>
      <c r="R75" s="73">
        <v>-3.833333333333333</v>
      </c>
      <c r="S75" s="73">
        <v>-2.5833333333333339</v>
      </c>
      <c r="T75" s="73">
        <v>-1.5</v>
      </c>
      <c r="U75" s="73">
        <v>0.53225806451612989</v>
      </c>
      <c r="V75" s="81">
        <v>0</v>
      </c>
      <c r="W75" s="73">
        <v>-2.9166666666666661</v>
      </c>
      <c r="X75" s="73">
        <v>-1.1428571428571419</v>
      </c>
      <c r="Y75" s="73">
        <v>2.887096774193548</v>
      </c>
      <c r="Z75" s="73">
        <v>0.87931034482758541</v>
      </c>
      <c r="AA75" s="49">
        <f>SUM(C75:Z75)</f>
        <v>-1.9670888319699511</v>
      </c>
    </row>
    <row r="76" spans="1:38" ht="27.75" customHeight="1" x14ac:dyDescent="0.4"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38" ht="27.75" customHeight="1" x14ac:dyDescent="0.4">
      <c r="B77" s="48" t="s">
        <v>38</v>
      </c>
      <c r="C77" s="90">
        <v>2.02</v>
      </c>
      <c r="D77" s="51">
        <v>3.02</v>
      </c>
      <c r="E77" s="51">
        <v>4.0199999999999996</v>
      </c>
      <c r="F77" s="51">
        <v>5.0199999999999996</v>
      </c>
      <c r="G77" s="51">
        <v>6.02</v>
      </c>
      <c r="H77" s="51">
        <v>7.02</v>
      </c>
      <c r="I77" s="51">
        <v>9.02</v>
      </c>
      <c r="J77" s="51">
        <v>10.02</v>
      </c>
      <c r="K77" s="51">
        <v>11.02</v>
      </c>
      <c r="L77" s="51">
        <v>12.02</v>
      </c>
      <c r="M77" s="51">
        <v>13.02</v>
      </c>
      <c r="N77" s="51">
        <v>14.02</v>
      </c>
      <c r="O77" s="51">
        <v>16.02</v>
      </c>
      <c r="P77" s="51">
        <v>17.02</v>
      </c>
      <c r="Q77" s="51">
        <v>18.02</v>
      </c>
      <c r="R77" s="51">
        <v>19.02</v>
      </c>
      <c r="S77" s="51">
        <v>20.02</v>
      </c>
      <c r="T77" s="51">
        <v>21.02</v>
      </c>
      <c r="U77" s="51">
        <v>23.02</v>
      </c>
      <c r="V77" s="51">
        <v>24.02</v>
      </c>
      <c r="W77" s="75">
        <v>25.02</v>
      </c>
      <c r="X77" s="52">
        <v>26.02</v>
      </c>
      <c r="Y77" s="53">
        <v>27.02</v>
      </c>
      <c r="Z77" s="53">
        <v>28.02</v>
      </c>
      <c r="AA77" s="54" t="s">
        <v>1</v>
      </c>
      <c r="AB77" s="55" t="s">
        <v>2</v>
      </c>
      <c r="AC77" s="56" t="s">
        <v>3</v>
      </c>
      <c r="AD77" s="57" t="s">
        <v>4</v>
      </c>
      <c r="AE77" s="57" t="s">
        <v>5</v>
      </c>
      <c r="AF77" s="55" t="s">
        <v>6</v>
      </c>
      <c r="AG77" s="55" t="s">
        <v>7</v>
      </c>
      <c r="AH77" s="58" t="s">
        <v>8</v>
      </c>
      <c r="AI77" s="55" t="s">
        <v>9</v>
      </c>
      <c r="AJ77" s="55" t="s">
        <v>10</v>
      </c>
      <c r="AK77" s="59" t="s">
        <v>11</v>
      </c>
      <c r="AL77" s="55" t="s">
        <v>12</v>
      </c>
    </row>
    <row r="78" spans="1:38" ht="39.75" customHeight="1" x14ac:dyDescent="0.6">
      <c r="A78" s="60">
        <v>9</v>
      </c>
      <c r="B78" s="61" t="s">
        <v>39</v>
      </c>
      <c r="C78" s="79">
        <v>0</v>
      </c>
      <c r="D78" s="62">
        <v>183.75</v>
      </c>
      <c r="E78" s="63">
        <v>183</v>
      </c>
      <c r="F78" s="62">
        <v>132.83333333333329</v>
      </c>
      <c r="G78" s="62">
        <v>164.5</v>
      </c>
      <c r="H78" s="62">
        <v>177.25</v>
      </c>
      <c r="I78" s="62">
        <v>161.25</v>
      </c>
      <c r="J78" s="62">
        <v>120.1666666666667</v>
      </c>
      <c r="K78" s="62">
        <v>133.5</v>
      </c>
      <c r="L78" s="62">
        <v>181</v>
      </c>
      <c r="M78" s="62">
        <v>196.75</v>
      </c>
      <c r="N78" s="62">
        <v>172.5</v>
      </c>
      <c r="O78" s="62">
        <v>151.83333333333329</v>
      </c>
      <c r="P78" s="62">
        <v>71</v>
      </c>
      <c r="Q78" s="62">
        <v>172.75</v>
      </c>
      <c r="R78" s="62">
        <v>115</v>
      </c>
      <c r="S78" s="62">
        <v>107</v>
      </c>
      <c r="T78" s="62">
        <v>140</v>
      </c>
      <c r="U78" s="62">
        <v>186.5</v>
      </c>
      <c r="V78" s="62">
        <v>104.5</v>
      </c>
      <c r="W78" s="79">
        <v>0</v>
      </c>
      <c r="X78" s="62">
        <v>145</v>
      </c>
      <c r="Y78" s="62">
        <v>223</v>
      </c>
      <c r="Z78" s="62">
        <v>179.5</v>
      </c>
      <c r="AA78" s="64">
        <f>SUM(C78:Z78)</f>
        <v>3402.583333333333</v>
      </c>
      <c r="AB78" s="65">
        <v>22</v>
      </c>
      <c r="AC78" s="65">
        <f>AB78*166</f>
        <v>3652</v>
      </c>
      <c r="AD78" s="65">
        <f>AA78-AC78</f>
        <v>-249.41666666666697</v>
      </c>
      <c r="AE78" s="65">
        <v>24</v>
      </c>
      <c r="AF78" s="65">
        <f>AD78/175</f>
        <v>-1.425238095238097</v>
      </c>
      <c r="AG78" s="65">
        <f>AI78/AE78</f>
        <v>375</v>
      </c>
      <c r="AH78" s="66">
        <f>AG78*AF78</f>
        <v>-534.46428571428635</v>
      </c>
      <c r="AI78" s="65">
        <v>9000</v>
      </c>
      <c r="AJ78" s="67">
        <f>AI78+AH78</f>
        <v>8465.5357142857138</v>
      </c>
      <c r="AK78" s="61" t="s">
        <v>39</v>
      </c>
      <c r="AL78" s="92"/>
    </row>
    <row r="79" spans="1:38" ht="27.75" customHeight="1" x14ac:dyDescent="0.4">
      <c r="A79" s="69"/>
      <c r="B79" s="48" t="s">
        <v>16</v>
      </c>
      <c r="C79" s="80">
        <v>14</v>
      </c>
      <c r="D79" s="70">
        <v>16</v>
      </c>
      <c r="E79" s="70">
        <v>14</v>
      </c>
      <c r="F79" s="70">
        <v>14.5</v>
      </c>
      <c r="G79" s="70">
        <v>15.5</v>
      </c>
      <c r="H79" s="70">
        <v>14.5</v>
      </c>
      <c r="I79" s="70">
        <v>13</v>
      </c>
      <c r="J79" s="70">
        <v>15</v>
      </c>
      <c r="K79" s="70">
        <v>14</v>
      </c>
      <c r="L79" s="70">
        <v>14.5</v>
      </c>
      <c r="M79" s="70">
        <v>15.5</v>
      </c>
      <c r="N79" s="70">
        <v>15.5</v>
      </c>
      <c r="O79" s="70">
        <v>15</v>
      </c>
      <c r="P79" s="70">
        <v>14</v>
      </c>
      <c r="Q79" s="70">
        <v>13.5</v>
      </c>
      <c r="R79" s="70">
        <v>15</v>
      </c>
      <c r="S79" s="70">
        <v>12</v>
      </c>
      <c r="T79" s="70">
        <v>14</v>
      </c>
      <c r="U79" s="70">
        <v>15.5</v>
      </c>
      <c r="V79" s="70">
        <v>14</v>
      </c>
      <c r="W79" s="80">
        <v>12</v>
      </c>
      <c r="X79" s="70">
        <v>14</v>
      </c>
      <c r="Y79" s="70">
        <v>15.5</v>
      </c>
      <c r="Z79" s="70">
        <v>14.5</v>
      </c>
    </row>
    <row r="80" spans="1:38" ht="27.75" customHeight="1" x14ac:dyDescent="0.4">
      <c r="A80" s="69"/>
      <c r="B80" s="48" t="s">
        <v>17</v>
      </c>
      <c r="C80" s="80">
        <v>0</v>
      </c>
      <c r="D80" s="70">
        <v>11.484375</v>
      </c>
      <c r="E80" s="70">
        <v>13.071428571428569</v>
      </c>
      <c r="F80" s="70">
        <v>9.1609195402298855</v>
      </c>
      <c r="G80" s="70">
        <v>10.61290322580645</v>
      </c>
      <c r="H80" s="70">
        <v>12.22413793103448</v>
      </c>
      <c r="I80" s="70">
        <v>12.40384615384615</v>
      </c>
      <c r="J80" s="70">
        <v>8.0111111111111111</v>
      </c>
      <c r="K80" s="70">
        <v>9.5357142857142865</v>
      </c>
      <c r="L80" s="70">
        <v>12.482758620689649</v>
      </c>
      <c r="M80" s="70">
        <v>12.69354838709677</v>
      </c>
      <c r="N80" s="70">
        <v>11.12903225806452</v>
      </c>
      <c r="O80" s="70">
        <v>10.12222222222222</v>
      </c>
      <c r="P80" s="70">
        <v>5.0714285714285712</v>
      </c>
      <c r="Q80" s="70">
        <v>12.796296296296299</v>
      </c>
      <c r="R80" s="70">
        <v>7.666666666666667</v>
      </c>
      <c r="S80" s="70">
        <v>8.9166666666666661</v>
      </c>
      <c r="T80" s="70">
        <v>10</v>
      </c>
      <c r="U80" s="70">
        <v>12.03225806451613</v>
      </c>
      <c r="V80" s="70">
        <v>7.4642857142857144</v>
      </c>
      <c r="W80" s="80">
        <v>0</v>
      </c>
      <c r="X80" s="70">
        <v>10.357142857142859</v>
      </c>
      <c r="Y80" s="70">
        <v>14.38709677419355</v>
      </c>
      <c r="Z80" s="70">
        <v>12.379310344827591</v>
      </c>
      <c r="AA80" s="49">
        <f>SUM(C80:Z80)</f>
        <v>234.00314926326814</v>
      </c>
      <c r="AC80" s="48" t="s">
        <v>18</v>
      </c>
      <c r="AE80" s="48">
        <f>AG78/11.5</f>
        <v>32.608695652173914</v>
      </c>
    </row>
    <row r="81" spans="1:38" ht="27.75" customHeight="1" x14ac:dyDescent="0.4">
      <c r="A81" s="69"/>
      <c r="B81" s="48" t="s">
        <v>19</v>
      </c>
      <c r="C81" s="80">
        <v>0</v>
      </c>
      <c r="D81" s="70">
        <v>11.5</v>
      </c>
      <c r="E81" s="70">
        <v>11.5</v>
      </c>
      <c r="F81" s="70">
        <v>11.5</v>
      </c>
      <c r="G81" s="70">
        <v>11.5</v>
      </c>
      <c r="H81" s="70">
        <v>11.5</v>
      </c>
      <c r="I81" s="70">
        <v>11.5</v>
      </c>
      <c r="J81" s="70">
        <v>11.5</v>
      </c>
      <c r="K81" s="70">
        <v>11.5</v>
      </c>
      <c r="L81" s="70">
        <v>11.5</v>
      </c>
      <c r="M81" s="70">
        <v>11.5</v>
      </c>
      <c r="N81" s="70">
        <v>11.5</v>
      </c>
      <c r="O81" s="70">
        <v>11.5</v>
      </c>
      <c r="P81" s="70">
        <v>11.5</v>
      </c>
      <c r="Q81" s="70">
        <v>11.5</v>
      </c>
      <c r="R81" s="70">
        <v>11.5</v>
      </c>
      <c r="S81" s="70">
        <v>11.5</v>
      </c>
      <c r="T81" s="70">
        <v>11.5</v>
      </c>
      <c r="U81" s="70">
        <v>11.5</v>
      </c>
      <c r="V81" s="70">
        <v>11.5</v>
      </c>
      <c r="W81" s="80">
        <v>0</v>
      </c>
      <c r="X81" s="70">
        <v>11.5</v>
      </c>
      <c r="Y81" s="70">
        <v>11.5</v>
      </c>
      <c r="Z81" s="70">
        <v>11.5</v>
      </c>
      <c r="AA81" s="49">
        <f>SUM(C81:Z81)</f>
        <v>253</v>
      </c>
      <c r="AC81" s="48" t="s">
        <v>20</v>
      </c>
      <c r="AE81" s="48">
        <f>AA82*AE80</f>
        <v>-244.46252402386489</v>
      </c>
    </row>
    <row r="82" spans="1:38" ht="27.75" customHeight="1" x14ac:dyDescent="0.4">
      <c r="A82" s="71"/>
      <c r="B82" s="72" t="s">
        <v>21</v>
      </c>
      <c r="C82" s="81">
        <v>0</v>
      </c>
      <c r="D82" s="73">
        <v>-1.5625E-2</v>
      </c>
      <c r="E82" s="73">
        <v>1.571428571428571</v>
      </c>
      <c r="F82" s="73">
        <v>-2.339080459770114</v>
      </c>
      <c r="G82" s="73">
        <v>10.61290322580645</v>
      </c>
      <c r="H82" s="73">
        <v>0.72413793103448221</v>
      </c>
      <c r="I82" s="73">
        <v>0.9038461538461533</v>
      </c>
      <c r="J82" s="73">
        <v>-3.4888888888888889</v>
      </c>
      <c r="K82" s="73">
        <v>-1.964285714285714</v>
      </c>
      <c r="L82" s="73">
        <v>0.9827586206896548</v>
      </c>
      <c r="M82" s="73">
        <v>1.193548387096774</v>
      </c>
      <c r="N82" s="73">
        <v>-0.37096774193548399</v>
      </c>
      <c r="O82" s="73">
        <v>-1.377777777777776</v>
      </c>
      <c r="P82" s="73">
        <v>-6.4285714285714288</v>
      </c>
      <c r="Q82" s="73">
        <v>1.2962962962962961</v>
      </c>
      <c r="R82" s="73">
        <v>-3.833333333333333</v>
      </c>
      <c r="S82" s="73">
        <v>-2.5833333333333339</v>
      </c>
      <c r="T82" s="73">
        <v>-1.5</v>
      </c>
      <c r="U82" s="73">
        <v>0.53225806451612989</v>
      </c>
      <c r="V82" s="73">
        <v>-4.0357142857142856</v>
      </c>
      <c r="W82" s="81">
        <v>0</v>
      </c>
      <c r="X82" s="73">
        <v>-1.1428571428571419</v>
      </c>
      <c r="Y82" s="73">
        <v>2.887096774193548</v>
      </c>
      <c r="Z82" s="73">
        <v>0.87931034482758541</v>
      </c>
      <c r="AA82" s="49">
        <f>SUM(C82:Z82)</f>
        <v>-7.4968507367318562</v>
      </c>
    </row>
    <row r="83" spans="1:38" ht="27.75" customHeight="1" x14ac:dyDescent="0.4"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38" ht="27.75" customHeight="1" x14ac:dyDescent="0.4"/>
    <row r="85" spans="1:38" ht="30.75" customHeight="1" x14ac:dyDescent="0.4">
      <c r="B85" s="48" t="s">
        <v>41</v>
      </c>
      <c r="C85" s="50">
        <v>2.02</v>
      </c>
      <c r="D85" s="51">
        <v>3.02</v>
      </c>
      <c r="E85" s="51">
        <v>4.0199999999999996</v>
      </c>
      <c r="F85" s="51">
        <v>5.0199999999999996</v>
      </c>
      <c r="G85" s="51">
        <v>6.02</v>
      </c>
      <c r="H85" s="51">
        <v>7.02</v>
      </c>
      <c r="I85" s="51">
        <v>9.02</v>
      </c>
      <c r="J85" s="51">
        <v>10.02</v>
      </c>
      <c r="K85" s="51">
        <v>11.02</v>
      </c>
      <c r="L85" s="51">
        <v>12.02</v>
      </c>
      <c r="M85" s="51">
        <v>13.02</v>
      </c>
      <c r="N85" s="51">
        <v>14.02</v>
      </c>
      <c r="O85" s="51">
        <v>16.02</v>
      </c>
      <c r="P85" s="51">
        <v>17.02</v>
      </c>
      <c r="Q85" s="51">
        <v>18.02</v>
      </c>
      <c r="R85" s="51">
        <v>19.02</v>
      </c>
      <c r="S85" s="75">
        <v>20.02</v>
      </c>
      <c r="T85" s="51">
        <v>21.02</v>
      </c>
      <c r="U85" s="51">
        <v>23.02</v>
      </c>
      <c r="V85" s="51">
        <v>24.02</v>
      </c>
      <c r="W85" s="51">
        <v>25.02</v>
      </c>
      <c r="X85" s="52">
        <v>26.02</v>
      </c>
      <c r="Y85" s="53">
        <v>27.02</v>
      </c>
      <c r="Z85" s="53">
        <v>28.02</v>
      </c>
      <c r="AA85" s="54" t="s">
        <v>1</v>
      </c>
      <c r="AB85" s="55" t="s">
        <v>2</v>
      </c>
      <c r="AC85" s="56" t="s">
        <v>3</v>
      </c>
      <c r="AD85" s="57" t="s">
        <v>4</v>
      </c>
      <c r="AE85" s="57" t="s">
        <v>5</v>
      </c>
      <c r="AF85" s="55" t="s">
        <v>6</v>
      </c>
      <c r="AG85" s="55" t="s">
        <v>7</v>
      </c>
      <c r="AH85" s="58" t="s">
        <v>8</v>
      </c>
      <c r="AI85" s="55" t="s">
        <v>9</v>
      </c>
      <c r="AJ85" s="55" t="s">
        <v>10</v>
      </c>
      <c r="AK85" s="59" t="s">
        <v>11</v>
      </c>
      <c r="AL85" s="55" t="s">
        <v>12</v>
      </c>
    </row>
    <row r="86" spans="1:38" ht="39.75" customHeight="1" x14ac:dyDescent="0.6">
      <c r="A86" s="60">
        <v>10</v>
      </c>
      <c r="B86" s="61" t="s">
        <v>42</v>
      </c>
      <c r="C86" s="62">
        <v>195.25</v>
      </c>
      <c r="D86" s="62">
        <v>183.75</v>
      </c>
      <c r="E86" s="63">
        <v>183</v>
      </c>
      <c r="F86" s="62">
        <v>132.83333333333329</v>
      </c>
      <c r="G86" s="62">
        <v>164.5</v>
      </c>
      <c r="H86" s="62">
        <v>177.25</v>
      </c>
      <c r="I86" s="62">
        <v>161.25</v>
      </c>
      <c r="J86" s="62">
        <v>120.1666666666667</v>
      </c>
      <c r="K86" s="62">
        <v>133.5</v>
      </c>
      <c r="L86" s="62">
        <v>181</v>
      </c>
      <c r="M86" s="62">
        <v>196.75</v>
      </c>
      <c r="N86" s="62">
        <v>172.5</v>
      </c>
      <c r="O86" s="62">
        <v>151.83333333333329</v>
      </c>
      <c r="P86" s="62">
        <v>71</v>
      </c>
      <c r="Q86" s="62">
        <v>172.75</v>
      </c>
      <c r="R86" s="62">
        <v>115</v>
      </c>
      <c r="S86" s="79">
        <v>0</v>
      </c>
      <c r="T86" s="62">
        <v>140</v>
      </c>
      <c r="U86" s="62">
        <v>186.5</v>
      </c>
      <c r="V86" s="62">
        <v>104.5</v>
      </c>
      <c r="W86" s="62">
        <v>103</v>
      </c>
      <c r="X86" s="62">
        <v>145</v>
      </c>
      <c r="Y86" s="62">
        <v>223</v>
      </c>
      <c r="Z86" s="62">
        <v>179.5</v>
      </c>
      <c r="AA86" s="64">
        <f>SUM(C86:Z86)</f>
        <v>3593.8333333333335</v>
      </c>
      <c r="AB86" s="65">
        <v>23</v>
      </c>
      <c r="AC86" s="65">
        <f>AB86*166</f>
        <v>3818</v>
      </c>
      <c r="AD86" s="65">
        <f>AA86-AC86</f>
        <v>-224.16666666666652</v>
      </c>
      <c r="AE86" s="65">
        <v>24</v>
      </c>
      <c r="AF86" s="65">
        <f>AD86/175</f>
        <v>-1.2809523809523802</v>
      </c>
      <c r="AG86" s="65">
        <f>AI86/AE86</f>
        <v>312.5</v>
      </c>
      <c r="AH86" s="66">
        <f>AG86*AF86</f>
        <v>-400.29761904761881</v>
      </c>
      <c r="AI86" s="65">
        <v>7500</v>
      </c>
      <c r="AJ86" s="67">
        <f>AI86+AH86</f>
        <v>7099.7023809523816</v>
      </c>
      <c r="AK86" s="61" t="s">
        <v>42</v>
      </c>
      <c r="AL86" s="84"/>
    </row>
    <row r="87" spans="1:38" ht="27.75" customHeight="1" x14ac:dyDescent="0.4">
      <c r="A87" s="69"/>
      <c r="B87" s="48" t="s">
        <v>16</v>
      </c>
      <c r="C87" s="70">
        <v>14</v>
      </c>
      <c r="D87" s="70">
        <v>16</v>
      </c>
      <c r="E87" s="70">
        <v>14</v>
      </c>
      <c r="F87" s="70">
        <v>14.5</v>
      </c>
      <c r="G87" s="70">
        <v>15.5</v>
      </c>
      <c r="H87" s="70">
        <v>14.5</v>
      </c>
      <c r="I87" s="70">
        <v>13</v>
      </c>
      <c r="J87" s="70">
        <v>15</v>
      </c>
      <c r="K87" s="70">
        <v>14</v>
      </c>
      <c r="L87" s="70">
        <v>14.5</v>
      </c>
      <c r="M87" s="70">
        <v>15.5</v>
      </c>
      <c r="N87" s="70">
        <v>15.5</v>
      </c>
      <c r="O87" s="70">
        <v>15</v>
      </c>
      <c r="P87" s="70">
        <v>14</v>
      </c>
      <c r="Q87" s="70">
        <v>13.5</v>
      </c>
      <c r="R87" s="70">
        <v>15</v>
      </c>
      <c r="S87" s="80">
        <v>12</v>
      </c>
      <c r="T87" s="70">
        <v>14</v>
      </c>
      <c r="U87" s="70">
        <v>15.5</v>
      </c>
      <c r="V87" s="70">
        <v>14</v>
      </c>
      <c r="W87" s="70">
        <v>12</v>
      </c>
      <c r="X87" s="70">
        <v>14</v>
      </c>
      <c r="Y87" s="70">
        <v>15.5</v>
      </c>
      <c r="Z87" s="70">
        <v>14.5</v>
      </c>
    </row>
    <row r="88" spans="1:38" ht="27.75" customHeight="1" x14ac:dyDescent="0.4">
      <c r="A88" s="69"/>
      <c r="B88" s="48" t="s">
        <v>17</v>
      </c>
      <c r="C88" s="70">
        <v>13.946428571428569</v>
      </c>
      <c r="D88" s="70">
        <v>11.484375</v>
      </c>
      <c r="E88" s="70">
        <v>13.071428571428569</v>
      </c>
      <c r="F88" s="70">
        <v>9.1609195402298855</v>
      </c>
      <c r="G88" s="70">
        <v>10.61290322580645</v>
      </c>
      <c r="H88" s="70">
        <v>12.22413793103448</v>
      </c>
      <c r="I88" s="70">
        <v>12.40384615384615</v>
      </c>
      <c r="J88" s="70">
        <v>8.0111111111111111</v>
      </c>
      <c r="K88" s="70">
        <v>9.5357142857142865</v>
      </c>
      <c r="L88" s="70">
        <v>12.482758620689649</v>
      </c>
      <c r="M88" s="70">
        <v>12.69354838709677</v>
      </c>
      <c r="N88" s="70">
        <v>11.12903225806452</v>
      </c>
      <c r="O88" s="70">
        <v>10.12222222222222</v>
      </c>
      <c r="P88" s="70">
        <v>5.0714285714285712</v>
      </c>
      <c r="Q88" s="70">
        <v>12.796296296296299</v>
      </c>
      <c r="R88" s="70">
        <v>7.666666666666667</v>
      </c>
      <c r="S88" s="80">
        <v>0</v>
      </c>
      <c r="T88" s="70">
        <v>10</v>
      </c>
      <c r="U88" s="70">
        <v>12.03225806451613</v>
      </c>
      <c r="V88" s="70">
        <v>7.4642857142857144</v>
      </c>
      <c r="W88" s="70">
        <v>8.5833333333333339</v>
      </c>
      <c r="X88" s="70">
        <v>10.357142857142859</v>
      </c>
      <c r="Y88" s="70">
        <v>14.38709677419355</v>
      </c>
      <c r="Z88" s="70">
        <v>12.379310344827591</v>
      </c>
      <c r="AA88" s="49">
        <f>SUM(C88:Z88)</f>
        <v>247.61624450136338</v>
      </c>
      <c r="AC88" s="48" t="s">
        <v>18</v>
      </c>
      <c r="AE88" s="48">
        <f>AG86/11.5</f>
        <v>27.173913043478262</v>
      </c>
    </row>
    <row r="89" spans="1:38" ht="27.75" customHeight="1" x14ac:dyDescent="0.4">
      <c r="A89" s="69"/>
      <c r="B89" s="48" t="s">
        <v>19</v>
      </c>
      <c r="C89" s="70">
        <v>11.5</v>
      </c>
      <c r="D89" s="70">
        <v>11.5</v>
      </c>
      <c r="E89" s="70">
        <v>11.5</v>
      </c>
      <c r="F89" s="70">
        <v>11.5</v>
      </c>
      <c r="G89" s="70">
        <v>11.5</v>
      </c>
      <c r="H89" s="70">
        <v>11.5</v>
      </c>
      <c r="I89" s="70">
        <v>11.5</v>
      </c>
      <c r="J89" s="70">
        <v>11.5</v>
      </c>
      <c r="K89" s="70">
        <v>11.5</v>
      </c>
      <c r="L89" s="70">
        <v>11.5</v>
      </c>
      <c r="M89" s="70">
        <v>11.5</v>
      </c>
      <c r="N89" s="70">
        <v>11.5</v>
      </c>
      <c r="O89" s="70">
        <v>11.5</v>
      </c>
      <c r="P89" s="70">
        <v>11.5</v>
      </c>
      <c r="Q89" s="70">
        <v>11.5</v>
      </c>
      <c r="R89" s="70">
        <v>11.5</v>
      </c>
      <c r="S89" s="80">
        <v>0</v>
      </c>
      <c r="T89" s="70">
        <v>11.5</v>
      </c>
      <c r="U89" s="70">
        <v>11.5</v>
      </c>
      <c r="V89" s="70">
        <v>11.5</v>
      </c>
      <c r="W89" s="70">
        <v>11.5</v>
      </c>
      <c r="X89" s="70">
        <v>11.5</v>
      </c>
      <c r="Y89" s="70">
        <v>11.5</v>
      </c>
      <c r="Z89" s="70">
        <v>11.5</v>
      </c>
      <c r="AA89" s="49">
        <f>SUM(C89:Z89)</f>
        <v>264.5</v>
      </c>
      <c r="AC89" s="48" t="s">
        <v>20</v>
      </c>
      <c r="AE89" s="48">
        <f>AA90*AE88</f>
        <v>-146.2977037672994</v>
      </c>
    </row>
    <row r="90" spans="1:38" ht="27.75" customHeight="1" x14ac:dyDescent="0.4">
      <c r="A90" s="71"/>
      <c r="B90" s="72" t="s">
        <v>21</v>
      </c>
      <c r="C90" s="73">
        <v>2.4464285714285712</v>
      </c>
      <c r="D90" s="73">
        <v>-1.5625E-2</v>
      </c>
      <c r="E90" s="73">
        <v>1.571428571428571</v>
      </c>
      <c r="F90" s="73">
        <v>-2.339080459770114</v>
      </c>
      <c r="G90" s="73">
        <v>10.61290322580645</v>
      </c>
      <c r="H90" s="73">
        <v>0.72413793103448221</v>
      </c>
      <c r="I90" s="73">
        <v>0.9038461538461533</v>
      </c>
      <c r="J90" s="73">
        <v>-3.4888888888888889</v>
      </c>
      <c r="K90" s="73">
        <v>-1.964285714285714</v>
      </c>
      <c r="L90" s="73">
        <v>0.9827586206896548</v>
      </c>
      <c r="M90" s="73">
        <v>1.193548387096774</v>
      </c>
      <c r="N90" s="73">
        <v>-0.37096774193548399</v>
      </c>
      <c r="O90" s="73">
        <v>-1.377777777777776</v>
      </c>
      <c r="P90" s="73">
        <v>-6.4285714285714288</v>
      </c>
      <c r="Q90" s="73">
        <v>1.2962962962962961</v>
      </c>
      <c r="R90" s="73">
        <v>-3.833333333333333</v>
      </c>
      <c r="S90" s="81">
        <v>0</v>
      </c>
      <c r="T90" s="73">
        <v>-1.5</v>
      </c>
      <c r="U90" s="73">
        <v>0.53225806451612989</v>
      </c>
      <c r="V90" s="73">
        <v>-4.0357142857142856</v>
      </c>
      <c r="W90" s="73">
        <v>-2.9166666666666661</v>
      </c>
      <c r="X90" s="73">
        <v>-1.1428571428571419</v>
      </c>
      <c r="Y90" s="73">
        <v>2.887096774193548</v>
      </c>
      <c r="Z90" s="73">
        <v>0.87931034482758541</v>
      </c>
      <c r="AA90" s="49">
        <f>SUM(C90:Z90)</f>
        <v>-5.3837554986366172</v>
      </c>
    </row>
    <row r="91" spans="1:38" ht="27.75" customHeight="1" x14ac:dyDescent="0.4"/>
    <row r="92" spans="1:38" ht="27.75" customHeight="1" x14ac:dyDescent="0.4"/>
    <row r="93" spans="1:38" ht="30.75" customHeight="1" x14ac:dyDescent="0.4">
      <c r="B93" s="48" t="s">
        <v>44</v>
      </c>
      <c r="C93" s="50">
        <v>2.02</v>
      </c>
      <c r="D93" s="51">
        <v>3.02</v>
      </c>
      <c r="E93" s="51">
        <v>4.0199999999999996</v>
      </c>
      <c r="F93" s="51">
        <v>5.0199999999999996</v>
      </c>
      <c r="G93" s="51">
        <v>6.02</v>
      </c>
      <c r="H93" s="51">
        <v>7.02</v>
      </c>
      <c r="I93" s="51">
        <v>9.02</v>
      </c>
      <c r="J93" s="51">
        <v>10.02</v>
      </c>
      <c r="K93" s="51">
        <v>11.02</v>
      </c>
      <c r="L93" s="51">
        <v>12.02</v>
      </c>
      <c r="M93" s="51">
        <v>13.02</v>
      </c>
      <c r="N93" s="51">
        <v>14.02</v>
      </c>
      <c r="O93" s="51">
        <v>16.02</v>
      </c>
      <c r="P93" s="75">
        <v>17.02</v>
      </c>
      <c r="Q93" s="75">
        <v>18.02</v>
      </c>
      <c r="R93" s="51">
        <v>19.02</v>
      </c>
      <c r="S93" s="51">
        <v>20.02</v>
      </c>
      <c r="T93" s="51">
        <v>21.02</v>
      </c>
      <c r="U93" s="51">
        <v>23.02</v>
      </c>
      <c r="V93" s="75">
        <v>24.02</v>
      </c>
      <c r="W93" s="51">
        <v>25.02</v>
      </c>
      <c r="X93" s="52">
        <v>26.02</v>
      </c>
      <c r="Y93" s="53">
        <v>27.02</v>
      </c>
      <c r="Z93" s="53">
        <v>28.02</v>
      </c>
      <c r="AA93" s="54" t="s">
        <v>1</v>
      </c>
      <c r="AB93" s="55" t="s">
        <v>2</v>
      </c>
      <c r="AC93" s="56" t="s">
        <v>3</v>
      </c>
      <c r="AD93" s="57" t="s">
        <v>4</v>
      </c>
      <c r="AE93" s="57" t="s">
        <v>5</v>
      </c>
      <c r="AF93" s="55" t="s">
        <v>6</v>
      </c>
      <c r="AG93" s="55" t="s">
        <v>7</v>
      </c>
      <c r="AH93" s="58" t="s">
        <v>8</v>
      </c>
      <c r="AI93" s="55" t="s">
        <v>9</v>
      </c>
      <c r="AJ93" s="55" t="s">
        <v>10</v>
      </c>
      <c r="AK93" s="59" t="s">
        <v>11</v>
      </c>
      <c r="AL93" s="55" t="s">
        <v>12</v>
      </c>
    </row>
    <row r="94" spans="1:38" ht="39.75" customHeight="1" x14ac:dyDescent="0.6">
      <c r="A94" s="60">
        <v>11</v>
      </c>
      <c r="B94" s="61" t="s">
        <v>45</v>
      </c>
      <c r="C94" s="62">
        <v>195.25</v>
      </c>
      <c r="D94" s="62">
        <v>183.75</v>
      </c>
      <c r="E94" s="63">
        <v>183</v>
      </c>
      <c r="F94" s="62">
        <v>132.83333333333329</v>
      </c>
      <c r="G94" s="62">
        <v>164.5</v>
      </c>
      <c r="H94" s="62">
        <v>177.25</v>
      </c>
      <c r="I94" s="62">
        <v>161.25</v>
      </c>
      <c r="J94" s="62">
        <v>120.1666666666667</v>
      </c>
      <c r="K94" s="62">
        <v>133.5</v>
      </c>
      <c r="L94" s="62">
        <v>181</v>
      </c>
      <c r="M94" s="62">
        <v>196.75</v>
      </c>
      <c r="N94" s="62">
        <v>172.5</v>
      </c>
      <c r="O94" s="62">
        <v>151.83333333333329</v>
      </c>
      <c r="P94" s="79">
        <v>0</v>
      </c>
      <c r="Q94" s="79">
        <v>0</v>
      </c>
      <c r="R94" s="62">
        <v>115</v>
      </c>
      <c r="S94" s="62">
        <v>107</v>
      </c>
      <c r="T94" s="62">
        <v>140</v>
      </c>
      <c r="U94" s="62">
        <v>186.5</v>
      </c>
      <c r="V94" s="79">
        <v>0</v>
      </c>
      <c r="W94" s="62">
        <v>103</v>
      </c>
      <c r="X94" s="62">
        <v>145</v>
      </c>
      <c r="Y94" s="62">
        <v>223</v>
      </c>
      <c r="Z94" s="62">
        <v>179.5</v>
      </c>
      <c r="AA94" s="64">
        <f>SUM(C94:Z94)</f>
        <v>3352.5833333333335</v>
      </c>
      <c r="AB94" s="65">
        <v>21</v>
      </c>
      <c r="AC94" s="65">
        <f>AB94*166</f>
        <v>3486</v>
      </c>
      <c r="AD94" s="65">
        <f>AA94-AC94</f>
        <v>-133.41666666666652</v>
      </c>
      <c r="AE94" s="65">
        <v>24</v>
      </c>
      <c r="AF94" s="65">
        <f>AD94/175</f>
        <v>-0.76238095238095149</v>
      </c>
      <c r="AG94" s="65">
        <f>AI94/AE94</f>
        <v>325</v>
      </c>
      <c r="AH94" s="66">
        <f>AG94*AF94</f>
        <v>-247.77380952380923</v>
      </c>
      <c r="AI94" s="65">
        <v>7800</v>
      </c>
      <c r="AJ94" s="67">
        <f>AI94+AH94</f>
        <v>7552.2261904761908</v>
      </c>
      <c r="AK94" s="61" t="s">
        <v>45</v>
      </c>
      <c r="AL94" s="84"/>
    </row>
    <row r="95" spans="1:38" ht="27.75" customHeight="1" x14ac:dyDescent="0.4">
      <c r="A95" s="69"/>
      <c r="B95" s="48" t="s">
        <v>16</v>
      </c>
      <c r="C95" s="70">
        <v>14</v>
      </c>
      <c r="D95" s="70">
        <v>16</v>
      </c>
      <c r="E95" s="70">
        <v>14</v>
      </c>
      <c r="F95" s="70">
        <v>14.5</v>
      </c>
      <c r="G95" s="70">
        <v>15.5</v>
      </c>
      <c r="H95" s="70">
        <v>14.5</v>
      </c>
      <c r="I95" s="70">
        <v>13</v>
      </c>
      <c r="J95" s="70">
        <v>15</v>
      </c>
      <c r="K95" s="70">
        <v>14</v>
      </c>
      <c r="L95" s="70">
        <v>14.5</v>
      </c>
      <c r="M95" s="70">
        <v>15.5</v>
      </c>
      <c r="N95" s="70">
        <v>15.5</v>
      </c>
      <c r="O95" s="70">
        <v>15</v>
      </c>
      <c r="P95" s="80">
        <v>14</v>
      </c>
      <c r="Q95" s="80">
        <v>13.5</v>
      </c>
      <c r="R95" s="70">
        <v>15</v>
      </c>
      <c r="S95" s="70">
        <v>12</v>
      </c>
      <c r="T95" s="70">
        <v>14</v>
      </c>
      <c r="U95" s="70">
        <v>15.5</v>
      </c>
      <c r="V95" s="80">
        <v>14</v>
      </c>
      <c r="W95" s="70">
        <v>12</v>
      </c>
      <c r="X95" s="70">
        <v>14</v>
      </c>
      <c r="Y95" s="70">
        <v>15.5</v>
      </c>
      <c r="Z95" s="70">
        <v>14.5</v>
      </c>
    </row>
    <row r="96" spans="1:38" ht="27.75" customHeight="1" x14ac:dyDescent="0.4">
      <c r="A96" s="69"/>
      <c r="B96" s="48" t="s">
        <v>17</v>
      </c>
      <c r="C96" s="70">
        <v>13.946428571428569</v>
      </c>
      <c r="D96" s="70">
        <v>11.484375</v>
      </c>
      <c r="E96" s="70">
        <v>13.071428571428569</v>
      </c>
      <c r="F96" s="70">
        <v>9.1609195402298855</v>
      </c>
      <c r="G96" s="70">
        <v>10.61290322580645</v>
      </c>
      <c r="H96" s="70">
        <v>12.22413793103448</v>
      </c>
      <c r="I96" s="70">
        <v>12.40384615384615</v>
      </c>
      <c r="J96" s="70">
        <v>8.0111111111111111</v>
      </c>
      <c r="K96" s="70">
        <v>9.5357142857142865</v>
      </c>
      <c r="L96" s="70">
        <v>12.482758620689649</v>
      </c>
      <c r="M96" s="70">
        <v>12.69354838709677</v>
      </c>
      <c r="N96" s="70">
        <v>11.12903225806452</v>
      </c>
      <c r="O96" s="70">
        <v>10.12222222222222</v>
      </c>
      <c r="P96" s="80">
        <v>0</v>
      </c>
      <c r="Q96" s="80">
        <v>0</v>
      </c>
      <c r="R96" s="70">
        <v>7.666666666666667</v>
      </c>
      <c r="S96" s="70">
        <v>8.9166666666666661</v>
      </c>
      <c r="T96" s="70">
        <v>10</v>
      </c>
      <c r="U96" s="70">
        <v>12.03225806451613</v>
      </c>
      <c r="V96" s="80">
        <v>0</v>
      </c>
      <c r="W96" s="70">
        <v>8.5833333333333339</v>
      </c>
      <c r="X96" s="70">
        <v>10.357142857142859</v>
      </c>
      <c r="Y96" s="70">
        <v>14.38709677419355</v>
      </c>
      <c r="Z96" s="70">
        <v>12.379310344827591</v>
      </c>
      <c r="AA96" s="49">
        <f>SUM(C96:Z96)</f>
        <v>231.20090058601943</v>
      </c>
      <c r="AC96" s="48" t="s">
        <v>18</v>
      </c>
      <c r="AE96" s="48">
        <f>AG94/11.5</f>
        <v>28.260869565217391</v>
      </c>
    </row>
    <row r="97" spans="1:38" ht="27.75" customHeight="1" x14ac:dyDescent="0.4">
      <c r="A97" s="69"/>
      <c r="B97" s="48" t="s">
        <v>19</v>
      </c>
      <c r="C97" s="70">
        <v>11.5</v>
      </c>
      <c r="D97" s="70">
        <v>11.5</v>
      </c>
      <c r="E97" s="70">
        <v>11.5</v>
      </c>
      <c r="F97" s="70">
        <v>11.5</v>
      </c>
      <c r="G97" s="70">
        <v>11.5</v>
      </c>
      <c r="H97" s="70">
        <v>11.5</v>
      </c>
      <c r="I97" s="70">
        <v>11.5</v>
      </c>
      <c r="J97" s="70">
        <v>11.5</v>
      </c>
      <c r="K97" s="70">
        <v>11.5</v>
      </c>
      <c r="L97" s="70">
        <v>11.5</v>
      </c>
      <c r="M97" s="70">
        <v>11.5</v>
      </c>
      <c r="N97" s="70">
        <v>11.5</v>
      </c>
      <c r="O97" s="70">
        <v>11.5</v>
      </c>
      <c r="P97" s="80">
        <v>0</v>
      </c>
      <c r="Q97" s="80">
        <v>0</v>
      </c>
      <c r="R97" s="70">
        <v>11.5</v>
      </c>
      <c r="S97" s="70">
        <v>11.5</v>
      </c>
      <c r="T97" s="70">
        <v>11.5</v>
      </c>
      <c r="U97" s="70">
        <v>11.5</v>
      </c>
      <c r="V97" s="80">
        <v>0</v>
      </c>
      <c r="W97" s="70">
        <v>11.5</v>
      </c>
      <c r="X97" s="70">
        <v>11.5</v>
      </c>
      <c r="Y97" s="70">
        <v>11.5</v>
      </c>
      <c r="Z97" s="70">
        <v>11.5</v>
      </c>
      <c r="AA97" s="49">
        <f>SUM(C97:Z97)</f>
        <v>241.5</v>
      </c>
      <c r="AC97" s="48" t="s">
        <v>20</v>
      </c>
      <c r="AE97" s="48">
        <f>AA98*AE96</f>
        <v>33.938494822289307</v>
      </c>
    </row>
    <row r="98" spans="1:38" ht="27.75" customHeight="1" x14ac:dyDescent="0.4">
      <c r="A98" s="71"/>
      <c r="B98" s="72" t="s">
        <v>21</v>
      </c>
      <c r="C98" s="73">
        <v>2.4464285714285712</v>
      </c>
      <c r="D98" s="73">
        <v>-1.5625E-2</v>
      </c>
      <c r="E98" s="73">
        <v>1.571428571428571</v>
      </c>
      <c r="F98" s="73">
        <v>-2.339080459770114</v>
      </c>
      <c r="G98" s="73">
        <v>10.61290322580645</v>
      </c>
      <c r="H98" s="73">
        <v>0.72413793103448221</v>
      </c>
      <c r="I98" s="73">
        <v>0.9038461538461533</v>
      </c>
      <c r="J98" s="73">
        <v>-3.4888888888888889</v>
      </c>
      <c r="K98" s="73">
        <v>-1.964285714285714</v>
      </c>
      <c r="L98" s="73">
        <v>0.9827586206896548</v>
      </c>
      <c r="M98" s="73">
        <v>1.193548387096774</v>
      </c>
      <c r="N98" s="73">
        <v>-0.37096774193548399</v>
      </c>
      <c r="O98" s="73">
        <v>-1.377777777777776</v>
      </c>
      <c r="P98" s="81">
        <v>0</v>
      </c>
      <c r="Q98" s="81">
        <v>0</v>
      </c>
      <c r="R98" s="73">
        <v>-3.833333333333333</v>
      </c>
      <c r="S98" s="73">
        <v>-2.5833333333333339</v>
      </c>
      <c r="T98" s="73">
        <v>-1.5</v>
      </c>
      <c r="U98" s="73">
        <v>0.53225806451612989</v>
      </c>
      <c r="V98" s="81">
        <v>0</v>
      </c>
      <c r="W98" s="73">
        <v>-2.9166666666666661</v>
      </c>
      <c r="X98" s="73">
        <v>-1.1428571428571419</v>
      </c>
      <c r="Y98" s="73">
        <v>2.887096774193548</v>
      </c>
      <c r="Z98" s="73">
        <v>0.87931034482758541</v>
      </c>
      <c r="AA98" s="49">
        <f>SUM(C98:Z98)</f>
        <v>1.2009005860194679</v>
      </c>
    </row>
    <row r="99" spans="1:38" ht="27.75" customHeight="1" x14ac:dyDescent="0.4"/>
    <row r="100" spans="1:38" ht="27.75" customHeight="1" x14ac:dyDescent="0.4"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38" ht="27.75" customHeight="1" x14ac:dyDescent="0.4">
      <c r="B101" s="48" t="s">
        <v>46</v>
      </c>
      <c r="C101" s="50">
        <v>2.02</v>
      </c>
      <c r="D101" s="51">
        <v>3.02</v>
      </c>
      <c r="E101" s="75">
        <v>4.0199999999999996</v>
      </c>
      <c r="F101" s="51">
        <v>5.0199999999999996</v>
      </c>
      <c r="G101" s="51">
        <v>6.02</v>
      </c>
      <c r="H101" s="51">
        <v>7.02</v>
      </c>
      <c r="I101" s="51">
        <v>9.02</v>
      </c>
      <c r="J101" s="51">
        <v>10.02</v>
      </c>
      <c r="K101" s="51">
        <v>11.02</v>
      </c>
      <c r="L101" s="51">
        <v>12.02</v>
      </c>
      <c r="M101" s="51">
        <v>13.02</v>
      </c>
      <c r="N101" s="51">
        <v>14.02</v>
      </c>
      <c r="O101" s="51">
        <v>16.02</v>
      </c>
      <c r="P101" s="51">
        <v>17.02</v>
      </c>
      <c r="Q101" s="75">
        <v>18.02</v>
      </c>
      <c r="R101" s="51">
        <v>19.02</v>
      </c>
      <c r="S101" s="51">
        <v>20.02</v>
      </c>
      <c r="T101" s="51">
        <v>21.02</v>
      </c>
      <c r="U101" s="51">
        <v>23.02</v>
      </c>
      <c r="V101" s="51">
        <v>24.02</v>
      </c>
      <c r="W101" s="51">
        <v>25.02</v>
      </c>
      <c r="X101" s="52">
        <v>26.02</v>
      </c>
      <c r="Y101" s="53">
        <v>27.02</v>
      </c>
      <c r="Z101" s="53">
        <v>28.02</v>
      </c>
      <c r="AA101" s="54" t="s">
        <v>1</v>
      </c>
      <c r="AB101" s="55" t="s">
        <v>2</v>
      </c>
      <c r="AC101" s="56" t="s">
        <v>3</v>
      </c>
      <c r="AD101" s="57" t="s">
        <v>4</v>
      </c>
      <c r="AE101" s="57" t="s">
        <v>5</v>
      </c>
      <c r="AF101" s="55" t="s">
        <v>6</v>
      </c>
      <c r="AG101" s="55" t="s">
        <v>7</v>
      </c>
      <c r="AH101" s="58" t="s">
        <v>8</v>
      </c>
      <c r="AI101" s="55" t="s">
        <v>9</v>
      </c>
      <c r="AJ101" s="55" t="s">
        <v>10</v>
      </c>
      <c r="AK101" s="59" t="s">
        <v>11</v>
      </c>
      <c r="AL101" s="55" t="s">
        <v>12</v>
      </c>
    </row>
    <row r="102" spans="1:38" ht="46.5" customHeight="1" x14ac:dyDescent="0.6">
      <c r="A102" s="60">
        <v>12</v>
      </c>
      <c r="B102" s="61" t="s">
        <v>47</v>
      </c>
      <c r="C102" s="62">
        <v>195.25</v>
      </c>
      <c r="D102" s="62">
        <v>183.75</v>
      </c>
      <c r="E102" s="83">
        <v>0</v>
      </c>
      <c r="F102" s="62">
        <v>132.83333333333329</v>
      </c>
      <c r="G102" s="62">
        <v>164.5</v>
      </c>
      <c r="H102" s="62">
        <v>177.25</v>
      </c>
      <c r="I102" s="62">
        <v>161.25</v>
      </c>
      <c r="J102" s="62">
        <v>120.1666666666667</v>
      </c>
      <c r="K102" s="62">
        <v>133.5</v>
      </c>
      <c r="L102" s="62">
        <v>181</v>
      </c>
      <c r="M102" s="62">
        <v>196.75</v>
      </c>
      <c r="N102" s="62">
        <v>172.5</v>
      </c>
      <c r="O102" s="62">
        <v>151.83333333333329</v>
      </c>
      <c r="P102" s="62">
        <v>71</v>
      </c>
      <c r="Q102" s="79">
        <v>0</v>
      </c>
      <c r="R102" s="62">
        <v>115</v>
      </c>
      <c r="S102" s="62">
        <v>107</v>
      </c>
      <c r="T102" s="62">
        <v>140</v>
      </c>
      <c r="U102" s="62">
        <v>186.5</v>
      </c>
      <c r="V102" s="62">
        <v>104.5</v>
      </c>
      <c r="W102" s="62">
        <v>103</v>
      </c>
      <c r="X102" s="62">
        <v>145</v>
      </c>
      <c r="Y102" s="62">
        <v>223</v>
      </c>
      <c r="Z102" s="62">
        <v>179.5</v>
      </c>
      <c r="AA102" s="64">
        <f>SUM(C102:Z102)</f>
        <v>3345.083333333333</v>
      </c>
      <c r="AB102" s="65">
        <v>22</v>
      </c>
      <c r="AC102" s="65">
        <f>AB102*166</f>
        <v>3652</v>
      </c>
      <c r="AD102" s="65">
        <f>AA102-AC102</f>
        <v>-306.91666666666697</v>
      </c>
      <c r="AE102" s="65">
        <v>24</v>
      </c>
      <c r="AF102" s="65">
        <f>AD102/175</f>
        <v>-1.7538095238095255</v>
      </c>
      <c r="AG102" s="65">
        <f>AI102/AE102</f>
        <v>291.66666666666669</v>
      </c>
      <c r="AH102" s="66">
        <f>AG102*AF102</f>
        <v>-511.52777777777828</v>
      </c>
      <c r="AI102" s="65">
        <v>7000</v>
      </c>
      <c r="AJ102" s="67">
        <f>AI102+AH102</f>
        <v>6488.4722222222217</v>
      </c>
      <c r="AK102" s="61" t="s">
        <v>47</v>
      </c>
      <c r="AL102" s="84"/>
    </row>
    <row r="103" spans="1:38" ht="27.75" customHeight="1" x14ac:dyDescent="0.4">
      <c r="A103" s="69"/>
      <c r="B103" s="48" t="s">
        <v>16</v>
      </c>
      <c r="C103" s="70">
        <v>14</v>
      </c>
      <c r="D103" s="70">
        <v>16</v>
      </c>
      <c r="E103" s="80">
        <v>14</v>
      </c>
      <c r="F103" s="70">
        <v>14.5</v>
      </c>
      <c r="G103" s="70">
        <v>15.5</v>
      </c>
      <c r="H103" s="70">
        <v>14.5</v>
      </c>
      <c r="I103" s="70">
        <v>13</v>
      </c>
      <c r="J103" s="70">
        <v>15</v>
      </c>
      <c r="K103" s="70">
        <v>14</v>
      </c>
      <c r="L103" s="70">
        <v>14.5</v>
      </c>
      <c r="M103" s="70">
        <v>15.5</v>
      </c>
      <c r="N103" s="70">
        <v>15.5</v>
      </c>
      <c r="O103" s="70">
        <v>15</v>
      </c>
      <c r="P103" s="70">
        <v>14</v>
      </c>
      <c r="Q103" s="80">
        <v>13.5</v>
      </c>
      <c r="R103" s="70">
        <v>15</v>
      </c>
      <c r="S103" s="70">
        <v>12</v>
      </c>
      <c r="T103" s="70">
        <v>14</v>
      </c>
      <c r="U103" s="70">
        <v>15.5</v>
      </c>
      <c r="V103" s="70">
        <v>14</v>
      </c>
      <c r="W103" s="70">
        <v>12</v>
      </c>
      <c r="X103" s="70">
        <v>14</v>
      </c>
      <c r="Y103" s="70">
        <v>15.5</v>
      </c>
      <c r="Z103" s="70">
        <v>14.5</v>
      </c>
    </row>
    <row r="104" spans="1:38" ht="27.75" customHeight="1" x14ac:dyDescent="0.4">
      <c r="A104" s="69"/>
      <c r="B104" s="48" t="s">
        <v>17</v>
      </c>
      <c r="C104" s="70">
        <v>13.946428571428569</v>
      </c>
      <c r="D104" s="70">
        <v>11.484375</v>
      </c>
      <c r="E104" s="80">
        <v>0</v>
      </c>
      <c r="F104" s="70">
        <v>9.1609195402298855</v>
      </c>
      <c r="G104" s="70">
        <v>10.61290322580645</v>
      </c>
      <c r="H104" s="70">
        <v>12.22413793103448</v>
      </c>
      <c r="I104" s="70">
        <v>12.40384615384615</v>
      </c>
      <c r="J104" s="70">
        <v>8.0111111111111111</v>
      </c>
      <c r="K104" s="70">
        <v>9.5357142857142865</v>
      </c>
      <c r="L104" s="70">
        <v>12.482758620689649</v>
      </c>
      <c r="M104" s="70">
        <v>12.69354838709677</v>
      </c>
      <c r="N104" s="70">
        <v>11.12903225806452</v>
      </c>
      <c r="O104" s="70">
        <v>10.12222222222222</v>
      </c>
      <c r="P104" s="70">
        <v>5.0714285714285712</v>
      </c>
      <c r="Q104" s="80">
        <v>0</v>
      </c>
      <c r="R104" s="70">
        <v>7.666666666666667</v>
      </c>
      <c r="S104" s="70">
        <v>8.9166666666666661</v>
      </c>
      <c r="T104" s="70">
        <v>10</v>
      </c>
      <c r="U104" s="70">
        <v>12.03225806451613</v>
      </c>
      <c r="V104" s="70">
        <v>7.4642857142857144</v>
      </c>
      <c r="W104" s="70">
        <v>8.5833333333333339</v>
      </c>
      <c r="X104" s="70">
        <v>10.357142857142859</v>
      </c>
      <c r="Y104" s="70">
        <v>14.38709677419355</v>
      </c>
      <c r="Z104" s="70">
        <v>12.379310344827591</v>
      </c>
      <c r="AA104" s="49">
        <f>SUM(C104:Z104)</f>
        <v>230.66518630030518</v>
      </c>
      <c r="AC104" s="48" t="s">
        <v>18</v>
      </c>
      <c r="AE104" s="48">
        <f>AG102/11.5</f>
        <v>25.362318840579711</v>
      </c>
    </row>
    <row r="105" spans="1:38" ht="27.75" customHeight="1" x14ac:dyDescent="0.4">
      <c r="A105" s="69"/>
      <c r="B105" s="48" t="s">
        <v>19</v>
      </c>
      <c r="C105" s="70">
        <v>11.5</v>
      </c>
      <c r="D105" s="70">
        <v>11.5</v>
      </c>
      <c r="E105" s="80">
        <v>0</v>
      </c>
      <c r="F105" s="70">
        <v>11.5</v>
      </c>
      <c r="G105" s="70">
        <v>11.5</v>
      </c>
      <c r="H105" s="70">
        <v>11.5</v>
      </c>
      <c r="I105" s="70">
        <v>11.5</v>
      </c>
      <c r="J105" s="70">
        <v>11.5</v>
      </c>
      <c r="K105" s="70">
        <v>11.5</v>
      </c>
      <c r="L105" s="70">
        <v>11.5</v>
      </c>
      <c r="M105" s="70">
        <v>11.5</v>
      </c>
      <c r="N105" s="70">
        <v>11.5</v>
      </c>
      <c r="O105" s="70">
        <v>11.5</v>
      </c>
      <c r="P105" s="70">
        <v>11.5</v>
      </c>
      <c r="Q105" s="80">
        <v>0</v>
      </c>
      <c r="R105" s="70">
        <v>11.5</v>
      </c>
      <c r="S105" s="70">
        <v>11.5</v>
      </c>
      <c r="T105" s="70">
        <v>11.5</v>
      </c>
      <c r="U105" s="70">
        <v>11.5</v>
      </c>
      <c r="V105" s="70">
        <v>11.5</v>
      </c>
      <c r="W105" s="70">
        <v>11.5</v>
      </c>
      <c r="X105" s="70">
        <v>11.5</v>
      </c>
      <c r="Y105" s="70">
        <v>11.5</v>
      </c>
      <c r="Z105" s="70">
        <v>11.5</v>
      </c>
      <c r="AA105" s="49">
        <f>SUM(C105:Z105)</f>
        <v>253</v>
      </c>
      <c r="AC105" s="48" t="s">
        <v>20</v>
      </c>
      <c r="AE105" s="48">
        <f>AA106*AE104</f>
        <v>-274.79599962994104</v>
      </c>
    </row>
    <row r="106" spans="1:38" ht="27.75" customHeight="1" x14ac:dyDescent="0.4">
      <c r="A106" s="71"/>
      <c r="B106" s="72" t="s">
        <v>21</v>
      </c>
      <c r="C106" s="73">
        <v>2.4464285714285712</v>
      </c>
      <c r="D106" s="73">
        <v>-1.5625E-2</v>
      </c>
      <c r="E106" s="81">
        <v>0</v>
      </c>
      <c r="F106" s="73">
        <v>-2.339080459770114</v>
      </c>
      <c r="G106" s="73">
        <v>10.61290322580645</v>
      </c>
      <c r="H106" s="73">
        <v>0.72413793103448221</v>
      </c>
      <c r="I106" s="73">
        <v>0.9038461538461533</v>
      </c>
      <c r="J106" s="73">
        <v>-3.4888888888888889</v>
      </c>
      <c r="K106" s="73">
        <v>-1.964285714285714</v>
      </c>
      <c r="L106" s="73">
        <v>0.9827586206896548</v>
      </c>
      <c r="M106" s="73">
        <v>1.193548387096774</v>
      </c>
      <c r="N106" s="73">
        <v>-0.37096774193548399</v>
      </c>
      <c r="O106" s="73">
        <v>-1.377777777777776</v>
      </c>
      <c r="P106" s="73">
        <v>-6.4285714285714288</v>
      </c>
      <c r="Q106" s="81">
        <v>0</v>
      </c>
      <c r="R106" s="73">
        <v>-3.833333333333333</v>
      </c>
      <c r="S106" s="73">
        <v>-2.5833333333333339</v>
      </c>
      <c r="T106" s="73">
        <v>-1.5</v>
      </c>
      <c r="U106" s="73">
        <v>0.53225806451612989</v>
      </c>
      <c r="V106" s="73">
        <v>-4.0357142857142856</v>
      </c>
      <c r="W106" s="73">
        <v>-2.9166666666666661</v>
      </c>
      <c r="X106" s="73">
        <v>-1.1428571428571419</v>
      </c>
      <c r="Y106" s="73">
        <v>2.887096774193548</v>
      </c>
      <c r="Z106" s="73">
        <v>0.87931034482758541</v>
      </c>
      <c r="AA106" s="49">
        <f>SUM(C106:Z106)</f>
        <v>-10.834813699694818</v>
      </c>
    </row>
    <row r="107" spans="1:38" ht="27.75" customHeight="1" x14ac:dyDescent="0.4"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38" ht="27.75" customHeight="1" x14ac:dyDescent="0.4"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38" ht="27.75" customHeight="1" x14ac:dyDescent="0.4">
      <c r="B109" s="48" t="s">
        <v>48</v>
      </c>
      <c r="C109" s="50">
        <v>2.02</v>
      </c>
      <c r="D109" s="51">
        <v>3.02</v>
      </c>
      <c r="E109" s="51">
        <v>4.0199999999999996</v>
      </c>
      <c r="F109" s="51">
        <v>5.0199999999999996</v>
      </c>
      <c r="G109" s="51">
        <v>6.02</v>
      </c>
      <c r="H109" s="51">
        <v>7.02</v>
      </c>
      <c r="I109" s="75">
        <v>9.02</v>
      </c>
      <c r="J109" s="51">
        <v>10.02</v>
      </c>
      <c r="K109" s="51">
        <v>11.02</v>
      </c>
      <c r="L109" s="51">
        <v>12.02</v>
      </c>
      <c r="M109" s="51">
        <v>13.02</v>
      </c>
      <c r="N109" s="51">
        <v>14.02</v>
      </c>
      <c r="O109" s="51">
        <v>16.02</v>
      </c>
      <c r="P109" s="51">
        <v>17.02</v>
      </c>
      <c r="Q109" s="51">
        <v>18.02</v>
      </c>
      <c r="R109" s="51">
        <v>19.02</v>
      </c>
      <c r="S109" s="51">
        <v>20.02</v>
      </c>
      <c r="T109" s="51">
        <v>21.02</v>
      </c>
      <c r="U109" s="51">
        <v>23.02</v>
      </c>
      <c r="V109" s="51">
        <v>24.02</v>
      </c>
      <c r="W109" s="51">
        <v>25.02</v>
      </c>
      <c r="X109" s="52">
        <v>26.02</v>
      </c>
      <c r="Y109" s="53">
        <v>27.02</v>
      </c>
      <c r="Z109" s="86">
        <v>28.02</v>
      </c>
      <c r="AA109" s="54" t="s">
        <v>1</v>
      </c>
      <c r="AB109" s="55" t="s">
        <v>2</v>
      </c>
      <c r="AC109" s="56" t="s">
        <v>3</v>
      </c>
      <c r="AD109" s="57" t="s">
        <v>4</v>
      </c>
      <c r="AE109" s="57" t="s">
        <v>5</v>
      </c>
      <c r="AF109" s="55" t="s">
        <v>6</v>
      </c>
      <c r="AG109" s="55" t="s">
        <v>7</v>
      </c>
      <c r="AH109" s="58" t="s">
        <v>8</v>
      </c>
      <c r="AI109" s="55" t="s">
        <v>9</v>
      </c>
      <c r="AJ109" s="55" t="s">
        <v>10</v>
      </c>
      <c r="AK109" s="59" t="s">
        <v>11</v>
      </c>
      <c r="AL109" s="55" t="s">
        <v>12</v>
      </c>
    </row>
    <row r="110" spans="1:38" ht="54.75" customHeight="1" x14ac:dyDescent="0.6">
      <c r="A110" s="60">
        <v>13</v>
      </c>
      <c r="B110" s="61" t="s">
        <v>49</v>
      </c>
      <c r="C110" s="62">
        <v>195.25</v>
      </c>
      <c r="D110" s="62">
        <v>183.75</v>
      </c>
      <c r="E110" s="63">
        <v>183</v>
      </c>
      <c r="F110" s="62">
        <v>132.83333333333329</v>
      </c>
      <c r="G110" s="62">
        <v>164.5</v>
      </c>
      <c r="H110" s="62">
        <v>177.25</v>
      </c>
      <c r="I110" s="79">
        <v>0</v>
      </c>
      <c r="J110" s="62">
        <v>120.1666666666667</v>
      </c>
      <c r="K110" s="62">
        <v>133.5</v>
      </c>
      <c r="L110" s="62">
        <v>181</v>
      </c>
      <c r="M110" s="62">
        <v>196.75</v>
      </c>
      <c r="N110" s="62">
        <v>172.5</v>
      </c>
      <c r="O110" s="62">
        <v>151.83333333333329</v>
      </c>
      <c r="P110" s="62">
        <v>71</v>
      </c>
      <c r="Q110" s="62">
        <v>172.75</v>
      </c>
      <c r="R110" s="62">
        <v>115</v>
      </c>
      <c r="S110" s="62">
        <v>107</v>
      </c>
      <c r="T110" s="62">
        <v>140</v>
      </c>
      <c r="U110" s="62">
        <v>186.5</v>
      </c>
      <c r="V110" s="62">
        <v>104.5</v>
      </c>
      <c r="W110" s="62">
        <v>103</v>
      </c>
      <c r="X110" s="62">
        <v>145</v>
      </c>
      <c r="Y110" s="62">
        <v>223</v>
      </c>
      <c r="Z110" s="79">
        <v>0</v>
      </c>
      <c r="AA110" s="64">
        <f>SUM(C110:Z110)</f>
        <v>3360.083333333333</v>
      </c>
      <c r="AB110" s="65">
        <v>22</v>
      </c>
      <c r="AC110" s="65">
        <f>AB110*166</f>
        <v>3652</v>
      </c>
      <c r="AD110" s="65">
        <f>AA110-AC110</f>
        <v>-291.91666666666697</v>
      </c>
      <c r="AE110" s="65">
        <v>24</v>
      </c>
      <c r="AF110" s="65">
        <f>AD110/175</f>
        <v>-1.6680952380952399</v>
      </c>
      <c r="AG110" s="65">
        <f>AI110/AE110</f>
        <v>333.33333333333331</v>
      </c>
      <c r="AH110" s="66">
        <f>AG110*AF110</f>
        <v>-556.03174603174659</v>
      </c>
      <c r="AI110" s="65">
        <v>8000</v>
      </c>
      <c r="AJ110" s="67">
        <f>AI110+AH110</f>
        <v>7443.9682539682535</v>
      </c>
      <c r="AK110" s="61" t="s">
        <v>49</v>
      </c>
      <c r="AL110" s="84"/>
    </row>
    <row r="111" spans="1:38" ht="27.75" customHeight="1" x14ac:dyDescent="0.4">
      <c r="A111" s="69"/>
      <c r="B111" s="48" t="s">
        <v>16</v>
      </c>
      <c r="C111" s="70">
        <v>14</v>
      </c>
      <c r="D111" s="70">
        <v>16</v>
      </c>
      <c r="E111" s="70">
        <v>14</v>
      </c>
      <c r="F111" s="70">
        <v>14.5</v>
      </c>
      <c r="G111" s="70">
        <v>15.5</v>
      </c>
      <c r="H111" s="70">
        <v>14.5</v>
      </c>
      <c r="I111" s="80">
        <v>13</v>
      </c>
      <c r="J111" s="70">
        <v>15</v>
      </c>
      <c r="K111" s="70">
        <v>14</v>
      </c>
      <c r="L111" s="70">
        <v>14.5</v>
      </c>
      <c r="M111" s="70">
        <v>15.5</v>
      </c>
      <c r="N111" s="70">
        <v>15.5</v>
      </c>
      <c r="O111" s="70">
        <v>15</v>
      </c>
      <c r="P111" s="70">
        <v>14</v>
      </c>
      <c r="Q111" s="70">
        <v>13.5</v>
      </c>
      <c r="R111" s="70">
        <v>15</v>
      </c>
      <c r="S111" s="70">
        <v>12</v>
      </c>
      <c r="T111" s="70">
        <v>14</v>
      </c>
      <c r="U111" s="70">
        <v>15.5</v>
      </c>
      <c r="V111" s="70">
        <v>14</v>
      </c>
      <c r="W111" s="70">
        <v>12</v>
      </c>
      <c r="X111" s="70">
        <v>14</v>
      </c>
      <c r="Y111" s="70">
        <v>15.5</v>
      </c>
      <c r="Z111" s="80">
        <v>14.5</v>
      </c>
    </row>
    <row r="112" spans="1:38" ht="27.75" customHeight="1" x14ac:dyDescent="0.4">
      <c r="A112" s="69"/>
      <c r="B112" s="48" t="s">
        <v>17</v>
      </c>
      <c r="C112" s="70">
        <v>13.946428571428569</v>
      </c>
      <c r="D112" s="70">
        <v>11.484375</v>
      </c>
      <c r="E112" s="70">
        <v>13.071428571428569</v>
      </c>
      <c r="F112" s="70">
        <v>9.1609195402298855</v>
      </c>
      <c r="G112" s="70">
        <v>10.61290322580645</v>
      </c>
      <c r="H112" s="70">
        <v>12.22413793103448</v>
      </c>
      <c r="I112" s="80">
        <v>0</v>
      </c>
      <c r="J112" s="70">
        <v>8.0111111111111111</v>
      </c>
      <c r="K112" s="70">
        <v>9.5357142857142865</v>
      </c>
      <c r="L112" s="70">
        <v>12.482758620689649</v>
      </c>
      <c r="M112" s="70">
        <v>12.69354838709677</v>
      </c>
      <c r="N112" s="70">
        <v>11.12903225806452</v>
      </c>
      <c r="O112" s="70">
        <v>10.12222222222222</v>
      </c>
      <c r="P112" s="70">
        <v>5.0714285714285712</v>
      </c>
      <c r="Q112" s="70">
        <v>12.796296296296299</v>
      </c>
      <c r="R112" s="70">
        <v>7.666666666666667</v>
      </c>
      <c r="S112" s="70">
        <v>8.9166666666666661</v>
      </c>
      <c r="T112" s="70">
        <v>10</v>
      </c>
      <c r="U112" s="70">
        <v>12.03225806451613</v>
      </c>
      <c r="V112" s="70">
        <v>7.4642857142857144</v>
      </c>
      <c r="W112" s="70">
        <v>8.5833333333333339</v>
      </c>
      <c r="X112" s="70">
        <v>10.357142857142859</v>
      </c>
      <c r="Y112" s="70">
        <v>14.38709677419355</v>
      </c>
      <c r="Z112" s="80">
        <v>0</v>
      </c>
      <c r="AA112" s="49">
        <f>SUM(C112:Z112)</f>
        <v>231.74975466935632</v>
      </c>
      <c r="AC112" s="48" t="s">
        <v>18</v>
      </c>
      <c r="AE112" s="48">
        <f>AG110/11.5</f>
        <v>28.985507246376809</v>
      </c>
    </row>
    <row r="113" spans="1:38" ht="27.75" customHeight="1" x14ac:dyDescent="0.4">
      <c r="A113" s="69"/>
      <c r="B113" s="48" t="s">
        <v>19</v>
      </c>
      <c r="C113" s="70">
        <v>11.5</v>
      </c>
      <c r="D113" s="70">
        <v>11.5</v>
      </c>
      <c r="E113" s="70">
        <v>11.5</v>
      </c>
      <c r="F113" s="70">
        <v>11.5</v>
      </c>
      <c r="G113" s="70">
        <v>11.5</v>
      </c>
      <c r="H113" s="70">
        <v>11.5</v>
      </c>
      <c r="I113" s="80">
        <v>0</v>
      </c>
      <c r="J113" s="70">
        <v>11.5</v>
      </c>
      <c r="K113" s="70">
        <v>11.5</v>
      </c>
      <c r="L113" s="70">
        <v>11.5</v>
      </c>
      <c r="M113" s="70">
        <v>11.5</v>
      </c>
      <c r="N113" s="70">
        <v>11.5</v>
      </c>
      <c r="O113" s="70">
        <v>11.5</v>
      </c>
      <c r="P113" s="70">
        <v>11.5</v>
      </c>
      <c r="Q113" s="70">
        <v>11.5</v>
      </c>
      <c r="R113" s="70">
        <v>11.5</v>
      </c>
      <c r="S113" s="70">
        <v>11.5</v>
      </c>
      <c r="T113" s="70">
        <v>11.5</v>
      </c>
      <c r="U113" s="70">
        <v>11.5</v>
      </c>
      <c r="V113" s="70">
        <v>11.5</v>
      </c>
      <c r="W113" s="70">
        <v>11.5</v>
      </c>
      <c r="X113" s="70">
        <v>11.5</v>
      </c>
      <c r="Y113" s="70">
        <v>11.5</v>
      </c>
      <c r="Z113" s="80">
        <v>0</v>
      </c>
      <c r="AA113" s="49">
        <f>SUM(C113:Z113)</f>
        <v>253</v>
      </c>
      <c r="AC113" s="48" t="s">
        <v>20</v>
      </c>
      <c r="AE113" s="48">
        <f>AA114*AE112</f>
        <v>-282.61580668532434</v>
      </c>
    </row>
    <row r="114" spans="1:38" ht="27.75" customHeight="1" x14ac:dyDescent="0.4">
      <c r="A114" s="71"/>
      <c r="B114" s="72" t="s">
        <v>21</v>
      </c>
      <c r="C114" s="73">
        <v>2.4464285714285712</v>
      </c>
      <c r="D114" s="73">
        <v>-1.5625E-2</v>
      </c>
      <c r="E114" s="73">
        <v>1.571428571428571</v>
      </c>
      <c r="F114" s="73">
        <v>-2.339080459770114</v>
      </c>
      <c r="G114" s="73">
        <v>10.61290322580645</v>
      </c>
      <c r="H114" s="73">
        <v>0.72413793103448221</v>
      </c>
      <c r="I114" s="81">
        <v>0</v>
      </c>
      <c r="J114" s="73">
        <v>-3.4888888888888889</v>
      </c>
      <c r="K114" s="73">
        <v>-1.964285714285714</v>
      </c>
      <c r="L114" s="73">
        <v>0.9827586206896548</v>
      </c>
      <c r="M114" s="73">
        <v>1.193548387096774</v>
      </c>
      <c r="N114" s="73">
        <v>-0.37096774193548399</v>
      </c>
      <c r="O114" s="73">
        <v>-1.377777777777776</v>
      </c>
      <c r="P114" s="73">
        <v>-6.4285714285714288</v>
      </c>
      <c r="Q114" s="73">
        <v>1.2962962962962961</v>
      </c>
      <c r="R114" s="73">
        <v>-3.833333333333333</v>
      </c>
      <c r="S114" s="73">
        <v>-2.5833333333333339</v>
      </c>
      <c r="T114" s="73">
        <v>-1.5</v>
      </c>
      <c r="U114" s="73">
        <v>0.53225806451612989</v>
      </c>
      <c r="V114" s="73">
        <v>-4.0357142857142856</v>
      </c>
      <c r="W114" s="73">
        <v>-2.9166666666666661</v>
      </c>
      <c r="X114" s="73">
        <v>-1.1428571428571419</v>
      </c>
      <c r="Y114" s="73">
        <v>2.887096774193548</v>
      </c>
      <c r="Z114" s="81">
        <v>0</v>
      </c>
      <c r="AA114" s="49">
        <f>SUM(C114:Z114)</f>
        <v>-9.7502453306436898</v>
      </c>
    </row>
    <row r="115" spans="1:38" ht="27.75" customHeight="1" x14ac:dyDescent="0.4"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38" ht="27.75" customHeight="1" x14ac:dyDescent="0.4"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38" ht="27.75" customHeight="1" x14ac:dyDescent="0.4">
      <c r="C117" s="50">
        <v>2.02</v>
      </c>
      <c r="D117" s="51">
        <v>3.02</v>
      </c>
      <c r="E117" s="51">
        <v>4.0199999999999996</v>
      </c>
      <c r="F117" s="51">
        <v>5.0199999999999996</v>
      </c>
      <c r="G117" s="51">
        <v>6.02</v>
      </c>
      <c r="H117" s="51">
        <v>7.02</v>
      </c>
      <c r="I117" s="51">
        <v>9.02</v>
      </c>
      <c r="J117" s="75">
        <v>10.02</v>
      </c>
      <c r="K117" s="51">
        <v>11.02</v>
      </c>
      <c r="L117" s="51">
        <v>12.02</v>
      </c>
      <c r="M117" s="51">
        <v>13.02</v>
      </c>
      <c r="N117" s="51">
        <v>14.02</v>
      </c>
      <c r="O117" s="51">
        <v>16.02</v>
      </c>
      <c r="P117" s="51">
        <v>17.02</v>
      </c>
      <c r="Q117" s="51">
        <v>18.02</v>
      </c>
      <c r="R117" s="51">
        <v>19.02</v>
      </c>
      <c r="S117" s="51">
        <v>20.02</v>
      </c>
      <c r="T117" s="51">
        <v>21.02</v>
      </c>
      <c r="U117" s="51">
        <v>23.02</v>
      </c>
      <c r="V117" s="51">
        <v>24.02</v>
      </c>
      <c r="W117" s="51">
        <v>25.02</v>
      </c>
      <c r="X117" s="52">
        <v>26.02</v>
      </c>
      <c r="Y117" s="53">
        <v>27.02</v>
      </c>
      <c r="Z117" s="53">
        <v>28.02</v>
      </c>
      <c r="AA117" s="54" t="s">
        <v>1</v>
      </c>
      <c r="AB117" s="55" t="s">
        <v>2</v>
      </c>
      <c r="AC117" s="56" t="s">
        <v>3</v>
      </c>
      <c r="AD117" s="57" t="s">
        <v>4</v>
      </c>
      <c r="AE117" s="57" t="s">
        <v>5</v>
      </c>
      <c r="AF117" s="55" t="s">
        <v>6</v>
      </c>
      <c r="AG117" s="55" t="s">
        <v>7</v>
      </c>
      <c r="AH117" s="58" t="s">
        <v>8</v>
      </c>
      <c r="AI117" s="55" t="s">
        <v>9</v>
      </c>
      <c r="AJ117" s="55" t="s">
        <v>10</v>
      </c>
      <c r="AK117" s="59" t="s">
        <v>11</v>
      </c>
      <c r="AL117" s="55" t="s">
        <v>12</v>
      </c>
    </row>
    <row r="118" spans="1:38" ht="42.75" customHeight="1" x14ac:dyDescent="0.6">
      <c r="A118" s="76">
        <v>14</v>
      </c>
      <c r="B118" s="77" t="s">
        <v>50</v>
      </c>
      <c r="C118" s="62">
        <v>195.25</v>
      </c>
      <c r="D118" s="62">
        <v>183.75</v>
      </c>
      <c r="E118" s="63">
        <v>183</v>
      </c>
      <c r="F118" s="62">
        <v>132.83333333333329</v>
      </c>
      <c r="G118" s="62">
        <v>164.5</v>
      </c>
      <c r="H118" s="62">
        <v>177.25</v>
      </c>
      <c r="I118" s="62">
        <v>161.25</v>
      </c>
      <c r="J118" s="79">
        <v>0</v>
      </c>
      <c r="K118" s="62">
        <v>133.5</v>
      </c>
      <c r="L118" s="62">
        <v>181</v>
      </c>
      <c r="M118" s="62">
        <v>196.75</v>
      </c>
      <c r="N118" s="62">
        <v>172.5</v>
      </c>
      <c r="O118" s="62">
        <v>151.83333333333329</v>
      </c>
      <c r="P118" s="62">
        <v>71</v>
      </c>
      <c r="Q118" s="62">
        <v>172.75</v>
      </c>
      <c r="R118" s="62">
        <v>115</v>
      </c>
      <c r="S118" s="62">
        <v>107</v>
      </c>
      <c r="T118" s="62">
        <v>140</v>
      </c>
      <c r="U118" s="62">
        <v>186.5</v>
      </c>
      <c r="V118" s="62">
        <v>104.5</v>
      </c>
      <c r="W118" s="62">
        <v>103</v>
      </c>
      <c r="X118" s="62">
        <v>145</v>
      </c>
      <c r="Y118" s="62">
        <v>223</v>
      </c>
      <c r="Z118" s="62">
        <v>179.5</v>
      </c>
      <c r="AA118" s="64">
        <f>SUM(C118:Z118)</f>
        <v>3580.6666666666665</v>
      </c>
      <c r="AB118" s="65">
        <v>23</v>
      </c>
      <c r="AC118" s="65">
        <f>AB118*166</f>
        <v>3818</v>
      </c>
      <c r="AD118" s="65">
        <f>AA118-AC118</f>
        <v>-237.33333333333348</v>
      </c>
      <c r="AE118" s="65">
        <v>24</v>
      </c>
      <c r="AF118" s="65">
        <f>AD118/175</f>
        <v>-1.3561904761904771</v>
      </c>
      <c r="AG118" s="65">
        <f>AI118/AE118</f>
        <v>312.5</v>
      </c>
      <c r="AH118" s="66">
        <f>AG118*AF118</f>
        <v>-423.80952380952408</v>
      </c>
      <c r="AI118" s="65">
        <v>7500</v>
      </c>
      <c r="AJ118" s="67">
        <f>AI118+AH118</f>
        <v>7076.1904761904761</v>
      </c>
      <c r="AK118" s="49" t="s">
        <v>50</v>
      </c>
      <c r="AL118" s="84"/>
    </row>
    <row r="119" spans="1:38" ht="27.75" customHeight="1" x14ac:dyDescent="0.4">
      <c r="A119" s="69"/>
      <c r="B119" s="48" t="s">
        <v>16</v>
      </c>
      <c r="C119" s="70">
        <v>14</v>
      </c>
      <c r="D119" s="70">
        <v>16</v>
      </c>
      <c r="E119" s="70">
        <v>14</v>
      </c>
      <c r="F119" s="70">
        <v>14.5</v>
      </c>
      <c r="G119" s="70">
        <v>15.5</v>
      </c>
      <c r="H119" s="70">
        <v>14.5</v>
      </c>
      <c r="I119" s="70">
        <v>13</v>
      </c>
      <c r="J119" s="80">
        <v>15</v>
      </c>
      <c r="K119" s="70">
        <v>14</v>
      </c>
      <c r="L119" s="70">
        <v>14.5</v>
      </c>
      <c r="M119" s="70">
        <v>15.5</v>
      </c>
      <c r="N119" s="70">
        <v>15.5</v>
      </c>
      <c r="O119" s="70">
        <v>15</v>
      </c>
      <c r="P119" s="70">
        <v>14</v>
      </c>
      <c r="Q119" s="70">
        <v>13.5</v>
      </c>
      <c r="R119" s="70">
        <v>15</v>
      </c>
      <c r="S119" s="70">
        <v>12</v>
      </c>
      <c r="T119" s="70">
        <v>14</v>
      </c>
      <c r="U119" s="70">
        <v>15.5</v>
      </c>
      <c r="V119" s="70">
        <v>14</v>
      </c>
      <c r="W119" s="70">
        <v>12</v>
      </c>
      <c r="X119" s="70">
        <v>14</v>
      </c>
      <c r="Y119" s="70">
        <v>15.5</v>
      </c>
      <c r="Z119" s="70">
        <v>14.5</v>
      </c>
    </row>
    <row r="120" spans="1:38" ht="27.75" customHeight="1" x14ac:dyDescent="0.4">
      <c r="A120" s="69"/>
      <c r="B120" s="48" t="s">
        <v>17</v>
      </c>
      <c r="C120" s="70">
        <v>13.946428571428569</v>
      </c>
      <c r="D120" s="70">
        <v>11.484375</v>
      </c>
      <c r="E120" s="70">
        <v>13.071428571428569</v>
      </c>
      <c r="F120" s="70">
        <v>9.1609195402298855</v>
      </c>
      <c r="G120" s="70">
        <v>10.61290322580645</v>
      </c>
      <c r="H120" s="70">
        <v>12.22413793103448</v>
      </c>
      <c r="I120" s="70">
        <v>12.40384615384615</v>
      </c>
      <c r="J120" s="80">
        <v>0</v>
      </c>
      <c r="K120" s="70">
        <v>9.5357142857142865</v>
      </c>
      <c r="L120" s="70">
        <v>12.482758620689649</v>
      </c>
      <c r="M120" s="70">
        <v>12.69354838709677</v>
      </c>
      <c r="N120" s="70">
        <v>11.12903225806452</v>
      </c>
      <c r="O120" s="70">
        <v>10.12222222222222</v>
      </c>
      <c r="P120" s="70">
        <v>5.0714285714285712</v>
      </c>
      <c r="Q120" s="70">
        <v>12.796296296296299</v>
      </c>
      <c r="R120" s="70">
        <v>7.666666666666667</v>
      </c>
      <c r="S120" s="70">
        <v>8.9166666666666661</v>
      </c>
      <c r="T120" s="70">
        <v>10</v>
      </c>
      <c r="U120" s="70">
        <v>12.03225806451613</v>
      </c>
      <c r="V120" s="70">
        <v>7.4642857142857144</v>
      </c>
      <c r="W120" s="70">
        <v>8.5833333333333339</v>
      </c>
      <c r="X120" s="70">
        <v>10.357142857142859</v>
      </c>
      <c r="Y120" s="70">
        <v>14.38709677419355</v>
      </c>
      <c r="Z120" s="70">
        <v>12.379310344827591</v>
      </c>
      <c r="AA120" s="49">
        <f>SUM(C120:Z120)</f>
        <v>248.52180005691892</v>
      </c>
      <c r="AC120" s="48" t="s">
        <v>18</v>
      </c>
      <c r="AE120" s="48">
        <f>AG118/11.5</f>
        <v>27.173913043478262</v>
      </c>
    </row>
    <row r="121" spans="1:38" ht="27.75" customHeight="1" x14ac:dyDescent="0.4">
      <c r="A121" s="69"/>
      <c r="B121" s="48" t="s">
        <v>19</v>
      </c>
      <c r="C121" s="70">
        <v>11.5</v>
      </c>
      <c r="D121" s="70">
        <v>11.5</v>
      </c>
      <c r="E121" s="70">
        <v>11.5</v>
      </c>
      <c r="F121" s="70">
        <v>11.5</v>
      </c>
      <c r="G121" s="70">
        <v>11.5</v>
      </c>
      <c r="H121" s="70">
        <v>11.5</v>
      </c>
      <c r="I121" s="70">
        <v>11.5</v>
      </c>
      <c r="J121" s="80">
        <v>0</v>
      </c>
      <c r="K121" s="70">
        <v>11.5</v>
      </c>
      <c r="L121" s="70">
        <v>11.5</v>
      </c>
      <c r="M121" s="70">
        <v>11.5</v>
      </c>
      <c r="N121" s="70">
        <v>11.5</v>
      </c>
      <c r="O121" s="70">
        <v>11.5</v>
      </c>
      <c r="P121" s="70">
        <v>11.5</v>
      </c>
      <c r="Q121" s="70">
        <v>11.5</v>
      </c>
      <c r="R121" s="70">
        <v>11.5</v>
      </c>
      <c r="S121" s="70">
        <v>11.5</v>
      </c>
      <c r="T121" s="70">
        <v>11.5</v>
      </c>
      <c r="U121" s="70">
        <v>11.5</v>
      </c>
      <c r="V121" s="70">
        <v>11.5</v>
      </c>
      <c r="W121" s="70">
        <v>11.5</v>
      </c>
      <c r="X121" s="70">
        <v>11.5</v>
      </c>
      <c r="Y121" s="70">
        <v>11.5</v>
      </c>
      <c r="Z121" s="70">
        <v>11.5</v>
      </c>
      <c r="AA121" s="49">
        <f>SUM(C121:Z121)</f>
        <v>264.5</v>
      </c>
      <c r="AC121" s="48" t="s">
        <v>20</v>
      </c>
      <c r="AE121" s="48">
        <f>AA122*AE120</f>
        <v>-121.69021584459408</v>
      </c>
    </row>
    <row r="122" spans="1:38" ht="27.75" customHeight="1" x14ac:dyDescent="0.4">
      <c r="A122" s="71"/>
      <c r="B122" s="72" t="s">
        <v>21</v>
      </c>
      <c r="C122" s="73">
        <v>2.4464285714285712</v>
      </c>
      <c r="D122" s="73">
        <v>-1.5625E-2</v>
      </c>
      <c r="E122" s="73">
        <v>1.571428571428571</v>
      </c>
      <c r="F122" s="73">
        <v>-2.339080459770114</v>
      </c>
      <c r="G122" s="73">
        <v>10.61290322580645</v>
      </c>
      <c r="H122" s="73">
        <v>0.72413793103448221</v>
      </c>
      <c r="I122" s="73">
        <v>0.9038461538461533</v>
      </c>
      <c r="J122" s="81">
        <v>0</v>
      </c>
      <c r="K122" s="73">
        <v>-1.964285714285714</v>
      </c>
      <c r="L122" s="73">
        <v>0.9827586206896548</v>
      </c>
      <c r="M122" s="73">
        <v>1.193548387096774</v>
      </c>
      <c r="N122" s="73">
        <v>-0.37096774193548399</v>
      </c>
      <c r="O122" s="73">
        <v>-1.377777777777776</v>
      </c>
      <c r="P122" s="73">
        <v>-6.4285714285714288</v>
      </c>
      <c r="Q122" s="73">
        <v>1.2962962962962961</v>
      </c>
      <c r="R122" s="73">
        <v>-3.833333333333333</v>
      </c>
      <c r="S122" s="73">
        <v>-2.5833333333333339</v>
      </c>
      <c r="T122" s="73">
        <v>-1.5</v>
      </c>
      <c r="U122" s="73">
        <v>0.53225806451612989</v>
      </c>
      <c r="V122" s="73">
        <v>-4.0357142857142856</v>
      </c>
      <c r="W122" s="73">
        <v>-2.9166666666666661</v>
      </c>
      <c r="X122" s="73">
        <v>-1.1428571428571419</v>
      </c>
      <c r="Y122" s="73">
        <v>2.887096774193548</v>
      </c>
      <c r="Z122" s="73">
        <v>0.87931034482758541</v>
      </c>
      <c r="AA122" s="49">
        <f>SUM(C122:Z122)</f>
        <v>-4.4781999430810622</v>
      </c>
    </row>
    <row r="123" spans="1:38" ht="27.75" customHeight="1" x14ac:dyDescent="0.4"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38" ht="27.75" customHeight="1" x14ac:dyDescent="0.4"/>
    <row r="125" spans="1:38" ht="30.75" customHeight="1" x14ac:dyDescent="0.4">
      <c r="B125" s="48" t="s">
        <v>52</v>
      </c>
      <c r="C125" s="50">
        <v>2.02</v>
      </c>
      <c r="D125" s="51">
        <v>3.02</v>
      </c>
      <c r="E125" s="51">
        <v>4.0199999999999996</v>
      </c>
      <c r="F125" s="51">
        <v>5.0199999999999996</v>
      </c>
      <c r="G125" s="51">
        <v>6.02</v>
      </c>
      <c r="H125" s="51">
        <v>7.02</v>
      </c>
      <c r="I125" s="75">
        <v>9.02</v>
      </c>
      <c r="J125" s="51">
        <v>10.02</v>
      </c>
      <c r="K125" s="51">
        <v>11.02</v>
      </c>
      <c r="L125" s="51">
        <v>12.02</v>
      </c>
      <c r="M125" s="51">
        <v>13.02</v>
      </c>
      <c r="N125" s="51">
        <v>14.02</v>
      </c>
      <c r="O125" s="51">
        <v>16.02</v>
      </c>
      <c r="P125" s="51">
        <v>17.02</v>
      </c>
      <c r="Q125" s="51">
        <v>18.02</v>
      </c>
      <c r="R125" s="51">
        <v>19.02</v>
      </c>
      <c r="S125" s="75">
        <v>20.02</v>
      </c>
      <c r="T125" s="51">
        <v>21.02</v>
      </c>
      <c r="U125" s="51">
        <v>23.02</v>
      </c>
      <c r="V125" s="75">
        <v>24.02</v>
      </c>
      <c r="W125" s="75">
        <v>25.02</v>
      </c>
      <c r="X125" s="52">
        <v>26.02</v>
      </c>
      <c r="Y125" s="53">
        <v>27.02</v>
      </c>
      <c r="Z125" s="53">
        <v>28.02</v>
      </c>
      <c r="AA125" s="54" t="s">
        <v>1</v>
      </c>
      <c r="AB125" s="55" t="s">
        <v>2</v>
      </c>
      <c r="AC125" s="56" t="s">
        <v>3</v>
      </c>
      <c r="AD125" s="57" t="s">
        <v>4</v>
      </c>
      <c r="AE125" s="57" t="s">
        <v>5</v>
      </c>
      <c r="AF125" s="55" t="s">
        <v>6</v>
      </c>
      <c r="AG125" s="55" t="s">
        <v>7</v>
      </c>
      <c r="AH125" s="58" t="s">
        <v>8</v>
      </c>
      <c r="AI125" s="55" t="s">
        <v>9</v>
      </c>
      <c r="AJ125" s="55" t="s">
        <v>10</v>
      </c>
      <c r="AK125" s="59" t="s">
        <v>11</v>
      </c>
      <c r="AL125" s="55" t="s">
        <v>12</v>
      </c>
    </row>
    <row r="126" spans="1:38" ht="39.75" customHeight="1" x14ac:dyDescent="0.6">
      <c r="A126" s="60">
        <v>15</v>
      </c>
      <c r="B126" s="91" t="s">
        <v>53</v>
      </c>
      <c r="C126" s="62">
        <v>195.25</v>
      </c>
      <c r="D126" s="62">
        <v>183.75</v>
      </c>
      <c r="E126" s="63">
        <v>183</v>
      </c>
      <c r="F126" s="62">
        <v>132.83333333333329</v>
      </c>
      <c r="G126" s="62">
        <v>164.5</v>
      </c>
      <c r="H126" s="62">
        <v>177.25</v>
      </c>
      <c r="I126" s="79">
        <v>0</v>
      </c>
      <c r="J126" s="62">
        <v>120.1666666666667</v>
      </c>
      <c r="K126" s="62">
        <v>133.5</v>
      </c>
      <c r="L126" s="62">
        <v>181</v>
      </c>
      <c r="M126" s="62">
        <v>196.75</v>
      </c>
      <c r="N126" s="62">
        <v>172.5</v>
      </c>
      <c r="O126" s="62">
        <v>151.83333333333329</v>
      </c>
      <c r="P126" s="62">
        <v>71</v>
      </c>
      <c r="Q126" s="62">
        <v>172.75</v>
      </c>
      <c r="R126" s="62">
        <v>115</v>
      </c>
      <c r="S126" s="79">
        <v>0</v>
      </c>
      <c r="T126" s="62">
        <v>140</v>
      </c>
      <c r="U126" s="62">
        <v>186.5</v>
      </c>
      <c r="V126" s="79">
        <v>0</v>
      </c>
      <c r="W126" s="79">
        <v>0</v>
      </c>
      <c r="X126" s="62">
        <v>145</v>
      </c>
      <c r="Y126" s="62">
        <v>223</v>
      </c>
      <c r="Z126" s="62">
        <v>179.5</v>
      </c>
      <c r="AA126" s="64">
        <f>SUM(C126:Z126)</f>
        <v>3225.083333333333</v>
      </c>
      <c r="AB126" s="65">
        <v>20</v>
      </c>
      <c r="AC126" s="65">
        <f>AB126*166</f>
        <v>3320</v>
      </c>
      <c r="AD126" s="65">
        <f>AA126-AC126</f>
        <v>-94.91666666666697</v>
      </c>
      <c r="AE126" s="65">
        <v>24</v>
      </c>
      <c r="AF126" s="65">
        <f>AD126/175</f>
        <v>-0.54238095238095407</v>
      </c>
      <c r="AG126" s="65">
        <f>AI126/AE126</f>
        <v>395.83333333333331</v>
      </c>
      <c r="AH126" s="66">
        <f>AG126*AF126</f>
        <v>-214.69246031746098</v>
      </c>
      <c r="AI126" s="65">
        <v>9500</v>
      </c>
      <c r="AJ126" s="67">
        <f>AI126+AH126</f>
        <v>9285.3075396825388</v>
      </c>
      <c r="AK126" s="91" t="s">
        <v>53</v>
      </c>
      <c r="AL126" s="84"/>
    </row>
    <row r="127" spans="1:38" ht="27.75" customHeight="1" x14ac:dyDescent="0.4">
      <c r="A127" s="69"/>
      <c r="B127" s="48" t="s">
        <v>16</v>
      </c>
      <c r="C127" s="70">
        <v>14</v>
      </c>
      <c r="D127" s="70">
        <v>16</v>
      </c>
      <c r="E127" s="70">
        <v>14</v>
      </c>
      <c r="F127" s="70">
        <v>14.5</v>
      </c>
      <c r="G127" s="70">
        <v>15.5</v>
      </c>
      <c r="H127" s="70">
        <v>14.5</v>
      </c>
      <c r="I127" s="80">
        <v>13</v>
      </c>
      <c r="J127" s="70">
        <v>15</v>
      </c>
      <c r="K127" s="70">
        <v>14</v>
      </c>
      <c r="L127" s="70">
        <v>14.5</v>
      </c>
      <c r="M127" s="70">
        <v>15.5</v>
      </c>
      <c r="N127" s="70">
        <v>15.5</v>
      </c>
      <c r="O127" s="70">
        <v>15</v>
      </c>
      <c r="P127" s="70">
        <v>14</v>
      </c>
      <c r="Q127" s="70">
        <v>13.5</v>
      </c>
      <c r="R127" s="70">
        <v>15</v>
      </c>
      <c r="S127" s="80">
        <v>12</v>
      </c>
      <c r="T127" s="70">
        <v>14</v>
      </c>
      <c r="U127" s="70">
        <v>15.5</v>
      </c>
      <c r="V127" s="80">
        <v>14</v>
      </c>
      <c r="W127" s="80">
        <v>12</v>
      </c>
      <c r="X127" s="70">
        <v>14</v>
      </c>
      <c r="Y127" s="70">
        <v>15.5</v>
      </c>
      <c r="Z127" s="70">
        <v>14.5</v>
      </c>
    </row>
    <row r="128" spans="1:38" ht="27.75" customHeight="1" x14ac:dyDescent="0.4">
      <c r="A128" s="69"/>
      <c r="B128" s="48" t="s">
        <v>17</v>
      </c>
      <c r="C128" s="70">
        <v>13.946428571428569</v>
      </c>
      <c r="D128" s="70">
        <v>11.484375</v>
      </c>
      <c r="E128" s="70">
        <v>13.071428571428569</v>
      </c>
      <c r="F128" s="70">
        <v>9.1609195402298855</v>
      </c>
      <c r="G128" s="70">
        <v>10.61290322580645</v>
      </c>
      <c r="H128" s="70">
        <v>12.22413793103448</v>
      </c>
      <c r="I128" s="80">
        <v>0</v>
      </c>
      <c r="J128" s="70">
        <v>8.0111111111111111</v>
      </c>
      <c r="K128" s="70">
        <v>9.5357142857142865</v>
      </c>
      <c r="L128" s="70">
        <v>12.482758620689649</v>
      </c>
      <c r="M128" s="70">
        <v>12.69354838709677</v>
      </c>
      <c r="N128" s="70">
        <v>11.12903225806452</v>
      </c>
      <c r="O128" s="70">
        <v>10.12222222222222</v>
      </c>
      <c r="P128" s="70">
        <v>5.0714285714285712</v>
      </c>
      <c r="Q128" s="70">
        <v>12.796296296296299</v>
      </c>
      <c r="R128" s="70">
        <v>7.666666666666667</v>
      </c>
      <c r="S128" s="80">
        <v>0</v>
      </c>
      <c r="T128" s="70">
        <v>10</v>
      </c>
      <c r="U128" s="70">
        <v>12.03225806451613</v>
      </c>
      <c r="V128" s="80">
        <v>0</v>
      </c>
      <c r="W128" s="80">
        <v>0</v>
      </c>
      <c r="X128" s="70">
        <v>10.357142857142859</v>
      </c>
      <c r="Y128" s="70">
        <v>14.38709677419355</v>
      </c>
      <c r="Z128" s="70">
        <v>12.379310344827591</v>
      </c>
      <c r="AA128" s="49">
        <f>SUM(C128:Z128)</f>
        <v>219.16477929989819</v>
      </c>
      <c r="AC128" s="48" t="s">
        <v>18</v>
      </c>
      <c r="AE128" s="48">
        <f>AG126/11.5</f>
        <v>34.420289855072461</v>
      </c>
    </row>
    <row r="129" spans="1:38" ht="27.75" customHeight="1" x14ac:dyDescent="0.4">
      <c r="A129" s="69"/>
      <c r="B129" s="48" t="s">
        <v>19</v>
      </c>
      <c r="C129" s="70">
        <v>11.5</v>
      </c>
      <c r="D129" s="70">
        <v>11.5</v>
      </c>
      <c r="E129" s="70">
        <v>11.5</v>
      </c>
      <c r="F129" s="70">
        <v>11.5</v>
      </c>
      <c r="G129" s="70">
        <v>11.5</v>
      </c>
      <c r="H129" s="70">
        <v>11.5</v>
      </c>
      <c r="I129" s="80">
        <v>0</v>
      </c>
      <c r="J129" s="70">
        <v>11.5</v>
      </c>
      <c r="K129" s="70">
        <v>11.5</v>
      </c>
      <c r="L129" s="70">
        <v>11.5</v>
      </c>
      <c r="M129" s="70">
        <v>11.5</v>
      </c>
      <c r="N129" s="70">
        <v>11.5</v>
      </c>
      <c r="O129" s="70">
        <v>11.5</v>
      </c>
      <c r="P129" s="70">
        <v>11.5</v>
      </c>
      <c r="Q129" s="70">
        <v>11.5</v>
      </c>
      <c r="R129" s="70">
        <v>11.5</v>
      </c>
      <c r="S129" s="80">
        <v>0</v>
      </c>
      <c r="T129" s="70">
        <v>11.5</v>
      </c>
      <c r="U129" s="70">
        <v>11.5</v>
      </c>
      <c r="V129" s="80">
        <v>0</v>
      </c>
      <c r="W129" s="80">
        <v>0</v>
      </c>
      <c r="X129" s="70">
        <v>11.5</v>
      </c>
      <c r="Y129" s="70">
        <v>11.5</v>
      </c>
      <c r="Z129" s="70">
        <v>11.5</v>
      </c>
      <c r="AA129" s="49">
        <f>SUM(C129:Z129)</f>
        <v>230</v>
      </c>
      <c r="AC129" s="48" t="s">
        <v>20</v>
      </c>
      <c r="AE129" s="48">
        <f>AA130*AE128</f>
        <v>22.881896192147554</v>
      </c>
    </row>
    <row r="130" spans="1:38" ht="27.75" customHeight="1" x14ac:dyDescent="0.4">
      <c r="A130" s="71"/>
      <c r="B130" s="72" t="s">
        <v>21</v>
      </c>
      <c r="C130" s="73">
        <v>2.4464285714285712</v>
      </c>
      <c r="D130" s="73">
        <v>-1.5625E-2</v>
      </c>
      <c r="E130" s="73">
        <v>1.571428571428571</v>
      </c>
      <c r="F130" s="73">
        <v>-2.339080459770114</v>
      </c>
      <c r="G130" s="73">
        <v>10.61290322580645</v>
      </c>
      <c r="H130" s="73">
        <v>0.72413793103448221</v>
      </c>
      <c r="I130" s="81">
        <v>0</v>
      </c>
      <c r="J130" s="73">
        <v>-3.4888888888888889</v>
      </c>
      <c r="K130" s="73">
        <v>-1.964285714285714</v>
      </c>
      <c r="L130" s="73">
        <v>0.9827586206896548</v>
      </c>
      <c r="M130" s="73">
        <v>1.193548387096774</v>
      </c>
      <c r="N130" s="73">
        <v>-0.37096774193548399</v>
      </c>
      <c r="O130" s="73">
        <v>-1.377777777777776</v>
      </c>
      <c r="P130" s="73">
        <v>-6.4285714285714288</v>
      </c>
      <c r="Q130" s="73">
        <v>1.2962962962962961</v>
      </c>
      <c r="R130" s="73">
        <v>-3.833333333333333</v>
      </c>
      <c r="S130" s="81">
        <v>0</v>
      </c>
      <c r="T130" s="73">
        <v>-1.5</v>
      </c>
      <c r="U130" s="73">
        <v>0.53225806451612989</v>
      </c>
      <c r="V130" s="81">
        <v>0</v>
      </c>
      <c r="W130" s="81">
        <v>0</v>
      </c>
      <c r="X130" s="73">
        <v>-1.1428571428571419</v>
      </c>
      <c r="Y130" s="73">
        <v>2.887096774193548</v>
      </c>
      <c r="Z130" s="73">
        <v>0.87931034482758541</v>
      </c>
      <c r="AA130" s="49">
        <f>SUM(C130:Z130)</f>
        <v>0.66477929989818163</v>
      </c>
    </row>
    <row r="131" spans="1:38" ht="27.75" customHeight="1" x14ac:dyDescent="0.4"/>
    <row r="132" spans="1:38" ht="27.75" customHeight="1" x14ac:dyDescent="0.4"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38" ht="27.75" customHeight="1" x14ac:dyDescent="0.4"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38" ht="27.75" customHeight="1" x14ac:dyDescent="0.4">
      <c r="B134" s="48" t="s">
        <v>55</v>
      </c>
      <c r="C134" s="50">
        <v>2.02</v>
      </c>
      <c r="D134" s="51">
        <v>3.02</v>
      </c>
      <c r="E134" s="51">
        <v>4.0199999999999996</v>
      </c>
      <c r="F134" s="51">
        <v>5.0199999999999996</v>
      </c>
      <c r="G134" s="51">
        <v>6.02</v>
      </c>
      <c r="H134" s="75">
        <v>7.02</v>
      </c>
      <c r="I134" s="51">
        <v>9.02</v>
      </c>
      <c r="J134" s="51">
        <v>10.02</v>
      </c>
      <c r="K134" s="51">
        <v>11.02</v>
      </c>
      <c r="L134" s="51">
        <v>12.02</v>
      </c>
      <c r="M134" s="51">
        <v>13.02</v>
      </c>
      <c r="N134" s="51">
        <v>14.02</v>
      </c>
      <c r="O134" s="75">
        <v>16.02</v>
      </c>
      <c r="P134" s="51">
        <v>17.02</v>
      </c>
      <c r="Q134" s="51">
        <v>18.02</v>
      </c>
      <c r="R134" s="51">
        <v>19.02</v>
      </c>
      <c r="S134" s="51">
        <v>20.02</v>
      </c>
      <c r="T134" s="51">
        <v>21.02</v>
      </c>
      <c r="U134" s="51">
        <v>23.02</v>
      </c>
      <c r="V134" s="75">
        <v>24.02</v>
      </c>
      <c r="W134" s="51">
        <v>25.02</v>
      </c>
      <c r="X134" s="52">
        <v>26.02</v>
      </c>
      <c r="Y134" s="53">
        <v>27.02</v>
      </c>
      <c r="Z134" s="53">
        <v>28.02</v>
      </c>
      <c r="AA134" s="54" t="s">
        <v>1</v>
      </c>
      <c r="AB134" s="55" t="s">
        <v>2</v>
      </c>
      <c r="AC134" s="56" t="s">
        <v>3</v>
      </c>
      <c r="AD134" s="57" t="s">
        <v>4</v>
      </c>
      <c r="AE134" s="57" t="s">
        <v>5</v>
      </c>
      <c r="AF134" s="55" t="s">
        <v>6</v>
      </c>
      <c r="AG134" s="55" t="s">
        <v>7</v>
      </c>
      <c r="AH134" s="58" t="s">
        <v>8</v>
      </c>
      <c r="AI134" s="55" t="s">
        <v>9</v>
      </c>
      <c r="AJ134" s="55" t="s">
        <v>10</v>
      </c>
      <c r="AK134" s="59" t="s">
        <v>11</v>
      </c>
      <c r="AL134" s="55" t="s">
        <v>12</v>
      </c>
    </row>
    <row r="135" spans="1:38" ht="48" customHeight="1" x14ac:dyDescent="0.6">
      <c r="A135" s="60">
        <v>16</v>
      </c>
      <c r="B135" s="61" t="s">
        <v>56</v>
      </c>
      <c r="C135" s="62">
        <v>195.25</v>
      </c>
      <c r="D135" s="62">
        <v>183.75</v>
      </c>
      <c r="E135" s="63">
        <v>183</v>
      </c>
      <c r="F135" s="62">
        <v>132.83333333333329</v>
      </c>
      <c r="G135" s="62">
        <v>164.5</v>
      </c>
      <c r="H135" s="79">
        <v>0</v>
      </c>
      <c r="I135" s="62">
        <v>161.25</v>
      </c>
      <c r="J135" s="62">
        <v>120.1666666666667</v>
      </c>
      <c r="K135" s="62">
        <v>133.5</v>
      </c>
      <c r="L135" s="62">
        <v>181</v>
      </c>
      <c r="M135" s="62">
        <v>196.75</v>
      </c>
      <c r="N135" s="62">
        <v>172.5</v>
      </c>
      <c r="O135" s="79">
        <v>0</v>
      </c>
      <c r="P135" s="62">
        <v>71</v>
      </c>
      <c r="Q135" s="62">
        <v>172.75</v>
      </c>
      <c r="R135" s="62">
        <v>115</v>
      </c>
      <c r="S135" s="62">
        <v>107</v>
      </c>
      <c r="T135" s="62">
        <v>140</v>
      </c>
      <c r="U135" s="62">
        <v>186.5</v>
      </c>
      <c r="V135" s="79">
        <v>0</v>
      </c>
      <c r="W135" s="62">
        <v>103</v>
      </c>
      <c r="X135" s="62">
        <v>145</v>
      </c>
      <c r="Y135" s="62">
        <v>223</v>
      </c>
      <c r="Z135" s="62">
        <v>179.5</v>
      </c>
      <c r="AA135" s="64">
        <f>SUM(C135:Z135)</f>
        <v>3267.25</v>
      </c>
      <c r="AB135" s="65">
        <v>21</v>
      </c>
      <c r="AC135" s="65">
        <f>AB135*166</f>
        <v>3486</v>
      </c>
      <c r="AD135" s="65">
        <f>AA135-AC135</f>
        <v>-218.75</v>
      </c>
      <c r="AE135" s="65">
        <v>24</v>
      </c>
      <c r="AF135" s="65">
        <f>AD135/175</f>
        <v>-1.25</v>
      </c>
      <c r="AG135" s="65">
        <f>AI135/AE135</f>
        <v>354.16666666666669</v>
      </c>
      <c r="AH135" s="66">
        <f>AG135*AF135</f>
        <v>-442.70833333333337</v>
      </c>
      <c r="AI135" s="65">
        <v>8500</v>
      </c>
      <c r="AJ135" s="67">
        <f>AI135+AH135</f>
        <v>8057.291666666667</v>
      </c>
      <c r="AK135" s="61" t="s">
        <v>56</v>
      </c>
      <c r="AL135" s="68"/>
    </row>
    <row r="136" spans="1:38" ht="27.75" customHeight="1" x14ac:dyDescent="0.4">
      <c r="A136" s="69"/>
      <c r="B136" s="48" t="s">
        <v>16</v>
      </c>
      <c r="C136" s="70">
        <v>14</v>
      </c>
      <c r="D136" s="70">
        <v>16</v>
      </c>
      <c r="E136" s="70">
        <v>14</v>
      </c>
      <c r="F136" s="70">
        <v>14.5</v>
      </c>
      <c r="G136" s="70">
        <v>15.5</v>
      </c>
      <c r="H136" s="80">
        <v>14.5</v>
      </c>
      <c r="I136" s="70">
        <v>13</v>
      </c>
      <c r="J136" s="70">
        <v>15</v>
      </c>
      <c r="K136" s="70">
        <v>14</v>
      </c>
      <c r="L136" s="70">
        <v>14.5</v>
      </c>
      <c r="M136" s="70">
        <v>15.5</v>
      </c>
      <c r="N136" s="70">
        <v>15.5</v>
      </c>
      <c r="O136" s="80">
        <v>15</v>
      </c>
      <c r="P136" s="70">
        <v>14</v>
      </c>
      <c r="Q136" s="70">
        <v>13.5</v>
      </c>
      <c r="R136" s="70">
        <v>15</v>
      </c>
      <c r="S136" s="70">
        <v>12</v>
      </c>
      <c r="T136" s="70">
        <v>14</v>
      </c>
      <c r="U136" s="70">
        <v>15.5</v>
      </c>
      <c r="V136" s="80">
        <v>14</v>
      </c>
      <c r="W136" s="70">
        <v>12</v>
      </c>
      <c r="X136" s="70">
        <v>14</v>
      </c>
      <c r="Y136" s="70">
        <v>15.5</v>
      </c>
      <c r="Z136" s="70">
        <v>14.5</v>
      </c>
    </row>
    <row r="137" spans="1:38" ht="27.75" customHeight="1" x14ac:dyDescent="0.4">
      <c r="A137" s="69"/>
      <c r="B137" s="48" t="s">
        <v>17</v>
      </c>
      <c r="C137" s="70">
        <v>13.946428571428569</v>
      </c>
      <c r="D137" s="70">
        <v>11.484375</v>
      </c>
      <c r="E137" s="70">
        <v>13.071428571428569</v>
      </c>
      <c r="F137" s="70">
        <v>9.1609195402298855</v>
      </c>
      <c r="G137" s="70">
        <v>10.61290322580645</v>
      </c>
      <c r="H137" s="80">
        <v>0</v>
      </c>
      <c r="I137" s="70">
        <v>12.40384615384615</v>
      </c>
      <c r="J137" s="70">
        <v>8.0111111111111111</v>
      </c>
      <c r="K137" s="70">
        <v>9.5357142857142865</v>
      </c>
      <c r="L137" s="70">
        <v>12.482758620689649</v>
      </c>
      <c r="M137" s="70">
        <v>12.69354838709677</v>
      </c>
      <c r="N137" s="70">
        <v>11.12903225806452</v>
      </c>
      <c r="O137" s="80">
        <v>0</v>
      </c>
      <c r="P137" s="70">
        <v>5.0714285714285712</v>
      </c>
      <c r="Q137" s="70">
        <v>12.796296296296299</v>
      </c>
      <c r="R137" s="70">
        <v>7.666666666666667</v>
      </c>
      <c r="S137" s="70">
        <v>8.9166666666666661</v>
      </c>
      <c r="T137" s="70">
        <v>10</v>
      </c>
      <c r="U137" s="70">
        <v>12.03225806451613</v>
      </c>
      <c r="V137" s="80">
        <v>0</v>
      </c>
      <c r="W137" s="70">
        <v>8.5833333333333339</v>
      </c>
      <c r="X137" s="70">
        <v>10.357142857142859</v>
      </c>
      <c r="Y137" s="70">
        <v>14.38709677419355</v>
      </c>
      <c r="Z137" s="70">
        <v>12.379310344827591</v>
      </c>
      <c r="AA137" s="49">
        <f>SUM(C137:Z137)</f>
        <v>226.72226530048761</v>
      </c>
      <c r="AC137" s="48" t="s">
        <v>18</v>
      </c>
      <c r="AE137" s="48">
        <f>AG135/11.5</f>
        <v>30.797101449275363</v>
      </c>
    </row>
    <row r="138" spans="1:38" ht="27.75" customHeight="1" x14ac:dyDescent="0.4">
      <c r="A138" s="69"/>
      <c r="B138" s="48" t="s">
        <v>19</v>
      </c>
      <c r="C138" s="70">
        <v>11.5</v>
      </c>
      <c r="D138" s="70">
        <v>11.5</v>
      </c>
      <c r="E138" s="70">
        <v>11.5</v>
      </c>
      <c r="F138" s="70">
        <v>11.5</v>
      </c>
      <c r="G138" s="70">
        <v>11.5</v>
      </c>
      <c r="H138" s="80">
        <v>0</v>
      </c>
      <c r="I138" s="70">
        <v>11.5</v>
      </c>
      <c r="J138" s="70">
        <v>11.5</v>
      </c>
      <c r="K138" s="70">
        <v>11.5</v>
      </c>
      <c r="L138" s="70">
        <v>11.5</v>
      </c>
      <c r="M138" s="70">
        <v>11.5</v>
      </c>
      <c r="N138" s="70">
        <v>11.5</v>
      </c>
      <c r="O138" s="80">
        <v>0</v>
      </c>
      <c r="P138" s="70">
        <v>11.5</v>
      </c>
      <c r="Q138" s="70">
        <v>11.5</v>
      </c>
      <c r="R138" s="70">
        <v>11.5</v>
      </c>
      <c r="S138" s="70">
        <v>11.5</v>
      </c>
      <c r="T138" s="70">
        <v>11.5</v>
      </c>
      <c r="U138" s="70">
        <v>11.5</v>
      </c>
      <c r="V138" s="80">
        <v>0</v>
      </c>
      <c r="W138" s="70">
        <v>11.5</v>
      </c>
      <c r="X138" s="70">
        <v>11.5</v>
      </c>
      <c r="Y138" s="70">
        <v>11.5</v>
      </c>
      <c r="Z138" s="70">
        <v>11.5</v>
      </c>
      <c r="AA138" s="49">
        <f>SUM(C138:Z138)</f>
        <v>241.5</v>
      </c>
      <c r="AC138" s="48" t="s">
        <v>20</v>
      </c>
      <c r="AE138" s="48">
        <f>AA139*AE137</f>
        <v>-100.94472806469257</v>
      </c>
    </row>
    <row r="139" spans="1:38" ht="27.75" customHeight="1" x14ac:dyDescent="0.4">
      <c r="A139" s="71"/>
      <c r="B139" s="72" t="s">
        <v>21</v>
      </c>
      <c r="C139" s="73">
        <v>2.4464285714285712</v>
      </c>
      <c r="D139" s="73">
        <v>-1.5625E-2</v>
      </c>
      <c r="E139" s="73">
        <v>1.571428571428571</v>
      </c>
      <c r="F139" s="73">
        <v>-2.339080459770114</v>
      </c>
      <c r="G139" s="73">
        <v>10.61290322580645</v>
      </c>
      <c r="H139" s="81">
        <v>0</v>
      </c>
      <c r="I139" s="73">
        <v>0.9038461538461533</v>
      </c>
      <c r="J139" s="73">
        <v>-3.4888888888888889</v>
      </c>
      <c r="K139" s="73">
        <v>-1.964285714285714</v>
      </c>
      <c r="L139" s="73">
        <v>0.9827586206896548</v>
      </c>
      <c r="M139" s="73">
        <v>1.193548387096774</v>
      </c>
      <c r="N139" s="73">
        <v>-0.37096774193548399</v>
      </c>
      <c r="O139" s="81">
        <v>0</v>
      </c>
      <c r="P139" s="73">
        <v>-6.4285714285714288</v>
      </c>
      <c r="Q139" s="73">
        <v>1.2962962962962961</v>
      </c>
      <c r="R139" s="73">
        <v>-3.833333333333333</v>
      </c>
      <c r="S139" s="73">
        <v>-2.5833333333333339</v>
      </c>
      <c r="T139" s="73">
        <v>-1.5</v>
      </c>
      <c r="U139" s="73">
        <v>0.53225806451612989</v>
      </c>
      <c r="V139" s="81">
        <v>0</v>
      </c>
      <c r="W139" s="73">
        <v>-2.9166666666666661</v>
      </c>
      <c r="X139" s="73">
        <v>-1.1428571428571419</v>
      </c>
      <c r="Y139" s="73">
        <v>2.887096774193548</v>
      </c>
      <c r="Z139" s="73">
        <v>0.87931034482758541</v>
      </c>
      <c r="AA139" s="49">
        <f>SUM(C139:Z139)</f>
        <v>-3.2777346995123704</v>
      </c>
    </row>
    <row r="140" spans="1:38" ht="27.75" customHeight="1" x14ac:dyDescent="0.4"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AA140" s="49"/>
    </row>
    <row r="141" spans="1:38" ht="27.75" customHeight="1" x14ac:dyDescent="0.4"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4"/>
  <sheetViews>
    <sheetView workbookViewId="0">
      <selection sqref="A1:B124"/>
    </sheetView>
  </sheetViews>
  <sheetFormatPr defaultRowHeight="14.4" x14ac:dyDescent="0.3"/>
  <cols>
    <col min="2" max="2" width="22.5546875" customWidth="1"/>
  </cols>
  <sheetData>
    <row r="1" spans="1:2" ht="19.5" customHeight="1" x14ac:dyDescent="0.4">
      <c r="A1" s="93" t="s">
        <v>11</v>
      </c>
      <c r="B1" s="94" t="s">
        <v>12</v>
      </c>
    </row>
    <row r="2" spans="1:2" ht="58.5" customHeight="1" x14ac:dyDescent="0.5">
      <c r="A2" s="95" t="s">
        <v>14</v>
      </c>
      <c r="B2" s="96">
        <v>2000</v>
      </c>
    </row>
    <row r="3" spans="1:2" ht="19.5" customHeight="1" x14ac:dyDescent="0.4">
      <c r="A3" s="97"/>
      <c r="B3" s="98"/>
    </row>
    <row r="4" spans="1:2" ht="19.5" customHeight="1" x14ac:dyDescent="0.4">
      <c r="A4" s="97"/>
      <c r="B4" s="98"/>
    </row>
    <row r="5" spans="1:2" ht="19.5" customHeight="1" x14ac:dyDescent="0.4">
      <c r="A5" s="97"/>
      <c r="B5" s="98"/>
    </row>
    <row r="6" spans="1:2" ht="19.5" customHeight="1" x14ac:dyDescent="0.4">
      <c r="A6" s="97"/>
      <c r="B6" s="98"/>
    </row>
    <row r="7" spans="1:2" ht="19.5" customHeight="1" x14ac:dyDescent="0.4">
      <c r="A7" s="97"/>
      <c r="B7" s="98"/>
    </row>
    <row r="8" spans="1:2" ht="19.5" customHeight="1" x14ac:dyDescent="0.4">
      <c r="A8" s="93" t="s">
        <v>11</v>
      </c>
      <c r="B8" s="94" t="s">
        <v>12</v>
      </c>
    </row>
    <row r="9" spans="1:2" ht="97.5" customHeight="1" x14ac:dyDescent="0.5">
      <c r="A9" s="95" t="s">
        <v>24</v>
      </c>
      <c r="B9" s="99">
        <v>1000</v>
      </c>
    </row>
    <row r="10" spans="1:2" ht="19.5" customHeight="1" x14ac:dyDescent="0.4">
      <c r="A10" s="97"/>
      <c r="B10" s="98"/>
    </row>
    <row r="11" spans="1:2" ht="19.5" customHeight="1" x14ac:dyDescent="0.4">
      <c r="A11" s="97"/>
      <c r="B11" s="98"/>
    </row>
    <row r="12" spans="1:2" ht="19.5" customHeight="1" x14ac:dyDescent="0.4">
      <c r="A12" s="97"/>
      <c r="B12" s="98"/>
    </row>
    <row r="13" spans="1:2" ht="19.5" customHeight="1" x14ac:dyDescent="0.4">
      <c r="A13" s="97"/>
      <c r="B13" s="98"/>
    </row>
    <row r="14" spans="1:2" ht="19.5" customHeight="1" x14ac:dyDescent="0.4">
      <c r="A14" s="97"/>
      <c r="B14" s="98"/>
    </row>
    <row r="15" spans="1:2" ht="19.5" customHeight="1" x14ac:dyDescent="0.4">
      <c r="A15" s="93" t="s">
        <v>11</v>
      </c>
      <c r="B15" s="94" t="s">
        <v>12</v>
      </c>
    </row>
    <row r="16" spans="1:2" ht="136.5" customHeight="1" x14ac:dyDescent="0.5">
      <c r="A16" s="95" t="s">
        <v>27</v>
      </c>
      <c r="B16" s="96">
        <v>1000</v>
      </c>
    </row>
    <row r="17" spans="1:2" ht="19.5" customHeight="1" x14ac:dyDescent="0.4">
      <c r="A17" s="97"/>
      <c r="B17" s="98"/>
    </row>
    <row r="18" spans="1:2" ht="19.5" customHeight="1" x14ac:dyDescent="0.4">
      <c r="A18" s="97"/>
      <c r="B18" s="98"/>
    </row>
    <row r="19" spans="1:2" ht="19.5" customHeight="1" x14ac:dyDescent="0.4">
      <c r="A19" s="97"/>
      <c r="B19" s="98"/>
    </row>
    <row r="20" spans="1:2" ht="19.5" customHeight="1" x14ac:dyDescent="0.4">
      <c r="A20" s="97"/>
      <c r="B20" s="98"/>
    </row>
    <row r="21" spans="1:2" ht="19.5" customHeight="1" x14ac:dyDescent="0.4">
      <c r="A21" s="97"/>
      <c r="B21" s="98"/>
    </row>
    <row r="22" spans="1:2" ht="19.5" customHeight="1" x14ac:dyDescent="0.4">
      <c r="A22" s="93" t="s">
        <v>11</v>
      </c>
      <c r="B22" s="94" t="s">
        <v>12</v>
      </c>
    </row>
    <row r="23" spans="1:2" ht="26.25" customHeight="1" x14ac:dyDescent="0.5">
      <c r="A23" s="100"/>
      <c r="B23" s="96"/>
    </row>
    <row r="24" spans="1:2" ht="19.5" customHeight="1" x14ac:dyDescent="0.4">
      <c r="A24" s="97"/>
      <c r="B24" s="98"/>
    </row>
    <row r="25" spans="1:2" ht="19.5" customHeight="1" x14ac:dyDescent="0.4">
      <c r="A25" s="97"/>
      <c r="B25" s="98"/>
    </row>
    <row r="26" spans="1:2" ht="19.5" customHeight="1" x14ac:dyDescent="0.4">
      <c r="A26" s="97"/>
      <c r="B26" s="98"/>
    </row>
    <row r="27" spans="1:2" ht="19.5" customHeight="1" x14ac:dyDescent="0.4">
      <c r="A27" s="97"/>
      <c r="B27" s="98"/>
    </row>
    <row r="28" spans="1:2" ht="19.5" customHeight="1" x14ac:dyDescent="0.4">
      <c r="A28" s="97"/>
      <c r="B28" s="98"/>
    </row>
    <row r="29" spans="1:2" ht="19.5" customHeight="1" x14ac:dyDescent="0.4">
      <c r="A29" s="93" t="s">
        <v>11</v>
      </c>
      <c r="B29" s="94" t="s">
        <v>12</v>
      </c>
    </row>
    <row r="30" spans="1:2" ht="26.25" customHeight="1" x14ac:dyDescent="0.5">
      <c r="A30" s="95"/>
      <c r="B30" s="96"/>
    </row>
    <row r="31" spans="1:2" ht="19.5" customHeight="1" x14ac:dyDescent="0.4">
      <c r="A31" s="97"/>
      <c r="B31" s="98"/>
    </row>
    <row r="32" spans="1:2" ht="19.5" customHeight="1" x14ac:dyDescent="0.4">
      <c r="A32" s="97"/>
      <c r="B32" s="98"/>
    </row>
    <row r="33" spans="1:2" ht="19.5" customHeight="1" x14ac:dyDescent="0.4">
      <c r="A33" s="97"/>
      <c r="B33" s="98"/>
    </row>
    <row r="34" spans="1:2" ht="19.5" customHeight="1" x14ac:dyDescent="0.4">
      <c r="A34" s="97"/>
      <c r="B34" s="98"/>
    </row>
    <row r="35" spans="1:2" ht="19.5" customHeight="1" x14ac:dyDescent="0.4">
      <c r="A35" s="93" t="s">
        <v>11</v>
      </c>
      <c r="B35" s="94" t="s">
        <v>12</v>
      </c>
    </row>
    <row r="36" spans="1:2" ht="136.5" customHeight="1" x14ac:dyDescent="0.5">
      <c r="A36" s="95" t="s">
        <v>31</v>
      </c>
      <c r="B36" s="96">
        <v>850</v>
      </c>
    </row>
    <row r="37" spans="1:2" ht="19.5" customHeight="1" x14ac:dyDescent="0.4">
      <c r="A37" s="97"/>
      <c r="B37" s="98"/>
    </row>
    <row r="38" spans="1:2" ht="19.5" customHeight="1" x14ac:dyDescent="0.4">
      <c r="A38" s="97"/>
      <c r="B38" s="98"/>
    </row>
    <row r="39" spans="1:2" ht="19.5" customHeight="1" x14ac:dyDescent="0.4">
      <c r="A39" s="97"/>
      <c r="B39" s="98"/>
    </row>
    <row r="40" spans="1:2" ht="19.5" customHeight="1" x14ac:dyDescent="0.4">
      <c r="A40" s="97"/>
      <c r="B40" s="98"/>
    </row>
    <row r="41" spans="1:2" ht="19.5" customHeight="1" x14ac:dyDescent="0.4">
      <c r="A41" s="97"/>
      <c r="B41" s="98"/>
    </row>
    <row r="42" spans="1:2" ht="19.5" customHeight="1" x14ac:dyDescent="0.4">
      <c r="A42" s="93" t="s">
        <v>11</v>
      </c>
      <c r="B42" s="94" t="s">
        <v>12</v>
      </c>
    </row>
    <row r="43" spans="1:2" ht="78" customHeight="1" x14ac:dyDescent="0.5">
      <c r="A43" s="95" t="s">
        <v>33</v>
      </c>
      <c r="B43" s="99">
        <v>1250</v>
      </c>
    </row>
    <row r="44" spans="1:2" ht="19.5" customHeight="1" x14ac:dyDescent="0.4">
      <c r="A44" s="97"/>
      <c r="B44" s="98"/>
    </row>
    <row r="45" spans="1:2" ht="19.5" customHeight="1" x14ac:dyDescent="0.4">
      <c r="A45" s="97"/>
      <c r="B45" s="98"/>
    </row>
    <row r="46" spans="1:2" ht="19.5" customHeight="1" x14ac:dyDescent="0.4">
      <c r="A46" s="97"/>
      <c r="B46" s="98"/>
    </row>
    <row r="47" spans="1:2" ht="19.5" customHeight="1" x14ac:dyDescent="0.4">
      <c r="A47" s="97"/>
      <c r="B47" s="98"/>
    </row>
    <row r="48" spans="1:2" ht="19.5" customHeight="1" x14ac:dyDescent="0.4">
      <c r="A48" s="97"/>
      <c r="B48" s="98"/>
    </row>
    <row r="49" spans="1:2" ht="19.5" customHeight="1" x14ac:dyDescent="0.4">
      <c r="A49" s="97"/>
      <c r="B49" s="98"/>
    </row>
    <row r="50" spans="1:2" ht="19.5" customHeight="1" x14ac:dyDescent="0.4">
      <c r="A50" s="93" t="s">
        <v>11</v>
      </c>
      <c r="B50" s="94" t="s">
        <v>12</v>
      </c>
    </row>
    <row r="51" spans="1:2" ht="78" customHeight="1" x14ac:dyDescent="0.5">
      <c r="A51" s="95" t="s">
        <v>35</v>
      </c>
      <c r="B51" s="96">
        <v>1000</v>
      </c>
    </row>
    <row r="52" spans="1:2" ht="19.5" customHeight="1" x14ac:dyDescent="0.4">
      <c r="A52" s="97"/>
      <c r="B52" s="98"/>
    </row>
    <row r="53" spans="1:2" ht="19.5" customHeight="1" x14ac:dyDescent="0.4">
      <c r="A53" s="97"/>
      <c r="B53" s="98"/>
    </row>
    <row r="54" spans="1:2" ht="19.5" customHeight="1" x14ac:dyDescent="0.4">
      <c r="A54" s="97"/>
      <c r="B54" s="98"/>
    </row>
    <row r="55" spans="1:2" ht="19.5" customHeight="1" x14ac:dyDescent="0.4">
      <c r="A55" s="97"/>
      <c r="B55" s="98"/>
    </row>
    <row r="56" spans="1:2" ht="19.5" customHeight="1" x14ac:dyDescent="0.4">
      <c r="A56" s="97"/>
      <c r="B56" s="98"/>
    </row>
    <row r="57" spans="1:2" ht="19.5" customHeight="1" x14ac:dyDescent="0.4">
      <c r="A57" s="97"/>
      <c r="B57" s="98"/>
    </row>
    <row r="58" spans="1:2" ht="19.5" customHeight="1" x14ac:dyDescent="0.4">
      <c r="A58" s="93" t="s">
        <v>11</v>
      </c>
      <c r="B58" s="94" t="s">
        <v>12</v>
      </c>
    </row>
    <row r="59" spans="1:2" ht="117" customHeight="1" x14ac:dyDescent="0.5">
      <c r="A59" s="101" t="s">
        <v>37</v>
      </c>
      <c r="B59" s="96">
        <v>300</v>
      </c>
    </row>
    <row r="60" spans="1:2" ht="19.5" customHeight="1" x14ac:dyDescent="0.4">
      <c r="A60" s="97"/>
      <c r="B60" s="98"/>
    </row>
    <row r="61" spans="1:2" ht="19.5" customHeight="1" x14ac:dyDescent="0.4">
      <c r="A61" s="97"/>
      <c r="B61" s="98"/>
    </row>
    <row r="62" spans="1:2" ht="19.5" customHeight="1" x14ac:dyDescent="0.4">
      <c r="A62" s="97"/>
      <c r="B62" s="98"/>
    </row>
    <row r="63" spans="1:2" ht="19.5" customHeight="1" x14ac:dyDescent="0.4">
      <c r="A63" s="97"/>
      <c r="B63" s="98"/>
    </row>
    <row r="64" spans="1:2" ht="19.5" customHeight="1" x14ac:dyDescent="0.4">
      <c r="A64" s="97"/>
      <c r="B64" s="98"/>
    </row>
    <row r="65" spans="1:2" ht="19.5" customHeight="1" x14ac:dyDescent="0.4">
      <c r="A65" s="93" t="s">
        <v>11</v>
      </c>
      <c r="B65" s="94" t="s">
        <v>12</v>
      </c>
    </row>
    <row r="66" spans="1:2" ht="78" customHeight="1" x14ac:dyDescent="0.5">
      <c r="A66" s="95" t="s">
        <v>39</v>
      </c>
      <c r="B66" s="102">
        <v>800</v>
      </c>
    </row>
    <row r="67" spans="1:2" ht="19.5" customHeight="1" x14ac:dyDescent="0.4">
      <c r="A67" s="97"/>
      <c r="B67" s="98"/>
    </row>
    <row r="68" spans="1:2" ht="19.5" customHeight="1" x14ac:dyDescent="0.4">
      <c r="A68" s="97"/>
      <c r="B68" s="98"/>
    </row>
    <row r="69" spans="1:2" ht="19.5" customHeight="1" x14ac:dyDescent="0.4">
      <c r="A69" s="97"/>
      <c r="B69" s="98"/>
    </row>
    <row r="70" spans="1:2" ht="19.5" customHeight="1" x14ac:dyDescent="0.4">
      <c r="A70" s="97"/>
      <c r="B70" s="98"/>
    </row>
    <row r="71" spans="1:2" ht="19.5" customHeight="1" x14ac:dyDescent="0.4">
      <c r="A71" s="97"/>
      <c r="B71" s="98"/>
    </row>
    <row r="72" spans="1:2" ht="19.5" customHeight="1" x14ac:dyDescent="0.4">
      <c r="A72" s="97"/>
      <c r="B72" s="98"/>
    </row>
    <row r="73" spans="1:2" ht="19.5" customHeight="1" x14ac:dyDescent="0.4">
      <c r="A73" s="93" t="s">
        <v>11</v>
      </c>
      <c r="B73" s="94" t="s">
        <v>12</v>
      </c>
    </row>
    <row r="74" spans="1:2" ht="78" customHeight="1" x14ac:dyDescent="0.5">
      <c r="A74" s="95" t="s">
        <v>42</v>
      </c>
      <c r="B74" s="99">
        <v>550</v>
      </c>
    </row>
    <row r="75" spans="1:2" ht="19.5" customHeight="1" x14ac:dyDescent="0.4">
      <c r="A75" s="97"/>
      <c r="B75" s="98"/>
    </row>
    <row r="76" spans="1:2" ht="19.5" customHeight="1" x14ac:dyDescent="0.4">
      <c r="A76" s="97"/>
      <c r="B76" s="98"/>
    </row>
    <row r="77" spans="1:2" ht="19.5" customHeight="1" x14ac:dyDescent="0.4">
      <c r="A77" s="97"/>
      <c r="B77" s="98"/>
    </row>
    <row r="78" spans="1:2" ht="19.5" customHeight="1" x14ac:dyDescent="0.4">
      <c r="A78" s="97"/>
      <c r="B78" s="98"/>
    </row>
    <row r="79" spans="1:2" ht="19.5" customHeight="1" x14ac:dyDescent="0.4">
      <c r="A79" s="97"/>
      <c r="B79" s="98"/>
    </row>
    <row r="80" spans="1:2" ht="19.5" customHeight="1" x14ac:dyDescent="0.4">
      <c r="A80" s="97"/>
      <c r="B80" s="98"/>
    </row>
    <row r="81" spans="1:2" ht="19.5" customHeight="1" x14ac:dyDescent="0.4">
      <c r="A81" s="93" t="s">
        <v>11</v>
      </c>
      <c r="B81" s="94" t="s">
        <v>12</v>
      </c>
    </row>
    <row r="82" spans="1:2" ht="78" customHeight="1" x14ac:dyDescent="0.5">
      <c r="A82" s="95" t="s">
        <v>45</v>
      </c>
      <c r="B82" s="99">
        <v>1000</v>
      </c>
    </row>
    <row r="83" spans="1:2" ht="19.5" customHeight="1" x14ac:dyDescent="0.4">
      <c r="A83" s="97"/>
      <c r="B83" s="98"/>
    </row>
    <row r="84" spans="1:2" ht="19.5" customHeight="1" x14ac:dyDescent="0.4">
      <c r="A84" s="97"/>
      <c r="B84" s="98"/>
    </row>
    <row r="85" spans="1:2" ht="19.5" customHeight="1" x14ac:dyDescent="0.4">
      <c r="A85" s="97"/>
      <c r="B85" s="98"/>
    </row>
    <row r="86" spans="1:2" ht="19.5" customHeight="1" x14ac:dyDescent="0.4">
      <c r="A86" s="97"/>
      <c r="B86" s="98"/>
    </row>
    <row r="87" spans="1:2" ht="19.5" customHeight="1" x14ac:dyDescent="0.4">
      <c r="A87" s="97"/>
      <c r="B87" s="98"/>
    </row>
    <row r="88" spans="1:2" ht="19.5" customHeight="1" x14ac:dyDescent="0.4">
      <c r="A88" s="97"/>
      <c r="B88" s="98"/>
    </row>
    <row r="89" spans="1:2" ht="19.5" customHeight="1" x14ac:dyDescent="0.4">
      <c r="A89" s="93" t="s">
        <v>11</v>
      </c>
      <c r="B89" s="94" t="s">
        <v>12</v>
      </c>
    </row>
    <row r="90" spans="1:2" ht="117" customHeight="1" x14ac:dyDescent="0.5">
      <c r="A90" s="95" t="s">
        <v>47</v>
      </c>
      <c r="B90" s="99">
        <v>850</v>
      </c>
    </row>
    <row r="91" spans="1:2" ht="19.5" customHeight="1" x14ac:dyDescent="0.4">
      <c r="A91" s="97"/>
      <c r="B91" s="98"/>
    </row>
    <row r="92" spans="1:2" ht="19.5" customHeight="1" x14ac:dyDescent="0.4">
      <c r="A92" s="97"/>
      <c r="B92" s="98"/>
    </row>
    <row r="93" spans="1:2" ht="19.5" customHeight="1" x14ac:dyDescent="0.4">
      <c r="A93" s="97"/>
      <c r="B93" s="98"/>
    </row>
    <row r="94" spans="1:2" ht="19.5" customHeight="1" x14ac:dyDescent="0.4">
      <c r="A94" s="97"/>
      <c r="B94" s="98"/>
    </row>
    <row r="95" spans="1:2" ht="19.5" customHeight="1" x14ac:dyDescent="0.4">
      <c r="A95" s="97"/>
      <c r="B95" s="98"/>
    </row>
    <row r="96" spans="1:2" ht="19.5" customHeight="1" x14ac:dyDescent="0.4">
      <c r="A96" s="97"/>
      <c r="B96" s="98"/>
    </row>
    <row r="97" spans="1:2" ht="19.5" customHeight="1" x14ac:dyDescent="0.4">
      <c r="A97" s="93" t="s">
        <v>11</v>
      </c>
      <c r="B97" s="94" t="s">
        <v>12</v>
      </c>
    </row>
    <row r="98" spans="1:2" ht="78" customHeight="1" x14ac:dyDescent="0.5">
      <c r="A98" s="95" t="s">
        <v>49</v>
      </c>
      <c r="B98" s="99">
        <v>850</v>
      </c>
    </row>
    <row r="99" spans="1:2" ht="19.5" customHeight="1" x14ac:dyDescent="0.4">
      <c r="A99" s="97"/>
      <c r="B99" s="98"/>
    </row>
    <row r="100" spans="1:2" ht="19.5" customHeight="1" x14ac:dyDescent="0.4">
      <c r="A100" s="97"/>
      <c r="B100" s="98"/>
    </row>
    <row r="101" spans="1:2" ht="19.5" customHeight="1" x14ac:dyDescent="0.4">
      <c r="A101" s="97"/>
      <c r="B101" s="98"/>
    </row>
    <row r="102" spans="1:2" ht="19.5" customHeight="1" x14ac:dyDescent="0.4">
      <c r="A102" s="97"/>
      <c r="B102" s="98"/>
    </row>
    <row r="103" spans="1:2" ht="19.5" customHeight="1" x14ac:dyDescent="0.4">
      <c r="A103" s="97"/>
      <c r="B103" s="98"/>
    </row>
    <row r="104" spans="1:2" ht="19.5" customHeight="1" x14ac:dyDescent="0.4">
      <c r="A104" s="97"/>
      <c r="B104" s="98"/>
    </row>
    <row r="105" spans="1:2" ht="19.5" customHeight="1" x14ac:dyDescent="0.4">
      <c r="A105" s="93" t="s">
        <v>11</v>
      </c>
      <c r="B105" s="94" t="s">
        <v>12</v>
      </c>
    </row>
    <row r="106" spans="1:2" ht="26.25" customHeight="1" x14ac:dyDescent="0.5">
      <c r="A106" s="97" t="s">
        <v>50</v>
      </c>
      <c r="B106" s="99">
        <v>1000</v>
      </c>
    </row>
    <row r="107" spans="1:2" ht="19.5" customHeight="1" x14ac:dyDescent="0.4">
      <c r="A107" s="97"/>
      <c r="B107" s="98"/>
    </row>
    <row r="108" spans="1:2" ht="19.5" customHeight="1" x14ac:dyDescent="0.4">
      <c r="A108" s="97"/>
      <c r="B108" s="98"/>
    </row>
    <row r="109" spans="1:2" ht="19.5" customHeight="1" x14ac:dyDescent="0.4">
      <c r="A109" s="97"/>
      <c r="B109" s="98"/>
    </row>
    <row r="110" spans="1:2" ht="19.5" customHeight="1" x14ac:dyDescent="0.4">
      <c r="A110" s="97"/>
      <c r="B110" s="98"/>
    </row>
    <row r="111" spans="1:2" ht="19.5" customHeight="1" x14ac:dyDescent="0.4">
      <c r="A111" s="97"/>
      <c r="B111" s="98"/>
    </row>
    <row r="112" spans="1:2" ht="19.5" customHeight="1" x14ac:dyDescent="0.4">
      <c r="A112" s="97"/>
      <c r="B112" s="98"/>
    </row>
    <row r="113" spans="1:2" ht="19.5" customHeight="1" x14ac:dyDescent="0.4">
      <c r="A113" s="93" t="s">
        <v>11</v>
      </c>
      <c r="B113" s="94" t="s">
        <v>12</v>
      </c>
    </row>
    <row r="114" spans="1:2" ht="78" customHeight="1" x14ac:dyDescent="0.5">
      <c r="A114" s="101" t="s">
        <v>53</v>
      </c>
      <c r="B114" s="99">
        <v>1500</v>
      </c>
    </row>
    <row r="115" spans="1:2" ht="19.5" customHeight="1" x14ac:dyDescent="0.4">
      <c r="A115" s="97"/>
      <c r="B115" s="98"/>
    </row>
    <row r="116" spans="1:2" ht="19.5" customHeight="1" x14ac:dyDescent="0.4">
      <c r="A116" s="97"/>
      <c r="B116" s="98"/>
    </row>
    <row r="117" spans="1:2" ht="19.5" customHeight="1" x14ac:dyDescent="0.4">
      <c r="A117" s="97"/>
      <c r="B117" s="98"/>
    </row>
    <row r="118" spans="1:2" ht="19.5" customHeight="1" x14ac:dyDescent="0.4">
      <c r="A118" s="97"/>
      <c r="B118" s="98"/>
    </row>
    <row r="119" spans="1:2" ht="19.5" customHeight="1" x14ac:dyDescent="0.4">
      <c r="A119" s="97"/>
      <c r="B119" s="98"/>
    </row>
    <row r="120" spans="1:2" ht="19.5" customHeight="1" x14ac:dyDescent="0.4">
      <c r="A120" s="97"/>
      <c r="B120" s="98"/>
    </row>
    <row r="121" spans="1:2" ht="19.5" customHeight="1" x14ac:dyDescent="0.4">
      <c r="A121" s="97"/>
      <c r="B121" s="98"/>
    </row>
    <row r="122" spans="1:2" ht="19.5" customHeight="1" x14ac:dyDescent="0.4">
      <c r="A122" s="93" t="s">
        <v>11</v>
      </c>
      <c r="B122" s="94" t="s">
        <v>12</v>
      </c>
    </row>
    <row r="123" spans="1:2" ht="58.5" customHeight="1" x14ac:dyDescent="0.5">
      <c r="A123" s="95" t="s">
        <v>56</v>
      </c>
      <c r="B123" s="96">
        <v>1200</v>
      </c>
    </row>
    <row r="124" spans="1:2" ht="19.5" customHeight="1" x14ac:dyDescent="0.4">
      <c r="A124" s="97"/>
      <c r="B124" s="98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1"/>
  <sheetViews>
    <sheetView workbookViewId="0">
      <selection activeCell="A19" sqref="A19"/>
    </sheetView>
  </sheetViews>
  <sheetFormatPr defaultRowHeight="14.4" x14ac:dyDescent="0.3"/>
  <cols>
    <col min="1" max="1" width="29.6640625" customWidth="1"/>
    <col min="2" max="2" width="36.109375" customWidth="1"/>
  </cols>
  <sheetData>
    <row r="1" spans="1:2" ht="19.5" customHeight="1" x14ac:dyDescent="0.4">
      <c r="A1" s="97"/>
      <c r="B1" s="98"/>
    </row>
    <row r="2" spans="1:2" ht="19.5" customHeight="1" x14ac:dyDescent="0.4">
      <c r="A2" s="97"/>
      <c r="B2" s="98"/>
    </row>
    <row r="3" spans="1:2" ht="19.5" customHeight="1" x14ac:dyDescent="0.4">
      <c r="A3" s="93" t="s">
        <v>11</v>
      </c>
      <c r="B3" s="94" t="s">
        <v>12</v>
      </c>
    </row>
    <row r="4" spans="1:2" ht="26.25" customHeight="1" x14ac:dyDescent="0.5">
      <c r="A4" s="95" t="s">
        <v>14</v>
      </c>
      <c r="B4" s="96">
        <v>9000</v>
      </c>
    </row>
    <row r="5" spans="1:2" ht="19.5" customHeight="1" x14ac:dyDescent="0.4">
      <c r="A5" s="93" t="s">
        <v>11</v>
      </c>
      <c r="B5" s="94" t="s">
        <v>12</v>
      </c>
    </row>
    <row r="6" spans="1:2" ht="39" customHeight="1" x14ac:dyDescent="0.5">
      <c r="A6" s="95" t="s">
        <v>24</v>
      </c>
      <c r="B6" s="99">
        <v>9000</v>
      </c>
    </row>
    <row r="7" spans="1:2" ht="19.5" customHeight="1" x14ac:dyDescent="0.4">
      <c r="A7" s="93" t="s">
        <v>11</v>
      </c>
      <c r="B7" s="94" t="s">
        <v>12</v>
      </c>
    </row>
    <row r="8" spans="1:2" ht="39" customHeight="1" x14ac:dyDescent="0.5">
      <c r="A8" s="95" t="s">
        <v>27</v>
      </c>
      <c r="B8" s="96">
        <v>6500</v>
      </c>
    </row>
    <row r="9" spans="1:2" ht="58.5" customHeight="1" x14ac:dyDescent="0.5">
      <c r="A9" s="95" t="s">
        <v>31</v>
      </c>
      <c r="B9" s="96">
        <v>6500</v>
      </c>
    </row>
    <row r="10" spans="1:2" ht="19.5" customHeight="1" x14ac:dyDescent="0.4">
      <c r="A10" s="93" t="s">
        <v>11</v>
      </c>
      <c r="B10" s="94" t="s">
        <v>12</v>
      </c>
    </row>
    <row r="11" spans="1:2" ht="26.25" customHeight="1" x14ac:dyDescent="0.5">
      <c r="A11" s="95" t="s">
        <v>33</v>
      </c>
      <c r="B11" s="99">
        <v>8000</v>
      </c>
    </row>
    <row r="12" spans="1:2" ht="19.5" customHeight="1" x14ac:dyDescent="0.4">
      <c r="A12" s="93" t="s">
        <v>11</v>
      </c>
      <c r="B12" s="94" t="s">
        <v>12</v>
      </c>
    </row>
    <row r="13" spans="1:2" ht="26.25" customHeight="1" x14ac:dyDescent="0.5">
      <c r="A13" s="95" t="s">
        <v>35</v>
      </c>
      <c r="B13" s="96">
        <v>7500</v>
      </c>
    </row>
    <row r="14" spans="1:2" ht="19.5" customHeight="1" x14ac:dyDescent="0.4">
      <c r="A14" s="93" t="s">
        <v>11</v>
      </c>
      <c r="B14" s="94" t="s">
        <v>12</v>
      </c>
    </row>
    <row r="15" spans="1:2" ht="39" customHeight="1" x14ac:dyDescent="0.5">
      <c r="A15" s="101" t="s">
        <v>37</v>
      </c>
      <c r="B15" s="96">
        <v>6500</v>
      </c>
    </row>
    <row r="16" spans="1:2" ht="19.5" customHeight="1" x14ac:dyDescent="0.4">
      <c r="A16" s="93" t="s">
        <v>11</v>
      </c>
      <c r="B16" s="94" t="s">
        <v>12</v>
      </c>
    </row>
    <row r="17" spans="1:2" ht="26.25" customHeight="1" x14ac:dyDescent="0.5">
      <c r="A17" s="95" t="s">
        <v>39</v>
      </c>
      <c r="B17" s="102">
        <v>8000</v>
      </c>
    </row>
    <row r="18" spans="1:2" ht="19.5" customHeight="1" x14ac:dyDescent="0.4">
      <c r="A18" s="93" t="s">
        <v>11</v>
      </c>
      <c r="B18" s="94" t="s">
        <v>12</v>
      </c>
    </row>
    <row r="19" spans="1:2" ht="26.25" customHeight="1" x14ac:dyDescent="0.5">
      <c r="A19" s="95" t="s">
        <v>42</v>
      </c>
      <c r="B19" s="99">
        <v>6500</v>
      </c>
    </row>
    <row r="20" spans="1:2" ht="19.5" customHeight="1" x14ac:dyDescent="0.4">
      <c r="A20" s="93" t="s">
        <v>11</v>
      </c>
      <c r="B20" s="94" t="s">
        <v>12</v>
      </c>
    </row>
    <row r="21" spans="1:2" ht="26.25" customHeight="1" x14ac:dyDescent="0.5">
      <c r="A21" s="95" t="s">
        <v>45</v>
      </c>
      <c r="B21" s="99">
        <v>6800</v>
      </c>
    </row>
    <row r="22" spans="1:2" ht="19.5" customHeight="1" x14ac:dyDescent="0.4">
      <c r="A22" s="93" t="s">
        <v>11</v>
      </c>
      <c r="B22" s="94" t="s">
        <v>12</v>
      </c>
    </row>
    <row r="23" spans="1:2" ht="39" customHeight="1" x14ac:dyDescent="0.5">
      <c r="A23" s="95" t="s">
        <v>47</v>
      </c>
      <c r="B23" s="99">
        <v>7000</v>
      </c>
    </row>
    <row r="24" spans="1:2" ht="19.5" customHeight="1" x14ac:dyDescent="0.4">
      <c r="A24" s="93" t="s">
        <v>11</v>
      </c>
      <c r="B24" s="94" t="s">
        <v>12</v>
      </c>
    </row>
    <row r="25" spans="1:2" ht="26.25" customHeight="1" x14ac:dyDescent="0.5">
      <c r="A25" s="95" t="s">
        <v>49</v>
      </c>
      <c r="B25" s="99">
        <v>8000</v>
      </c>
    </row>
    <row r="26" spans="1:2" ht="19.5" customHeight="1" x14ac:dyDescent="0.4">
      <c r="A26" s="93" t="s">
        <v>11</v>
      </c>
      <c r="B26" s="94" t="s">
        <v>12</v>
      </c>
    </row>
    <row r="27" spans="1:2" ht="26.25" customHeight="1" x14ac:dyDescent="0.5">
      <c r="A27" s="97" t="s">
        <v>50</v>
      </c>
      <c r="B27" s="99">
        <v>6800</v>
      </c>
    </row>
    <row r="28" spans="1:2" ht="19.5" customHeight="1" x14ac:dyDescent="0.4">
      <c r="A28" s="93" t="s">
        <v>11</v>
      </c>
      <c r="B28" s="94" t="s">
        <v>12</v>
      </c>
    </row>
    <row r="29" spans="1:2" ht="26.25" customHeight="1" x14ac:dyDescent="0.5">
      <c r="A29" s="101" t="s">
        <v>53</v>
      </c>
      <c r="B29" s="99">
        <v>9000</v>
      </c>
    </row>
    <row r="30" spans="1:2" ht="19.5" customHeight="1" x14ac:dyDescent="0.4">
      <c r="A30" s="93" t="s">
        <v>11</v>
      </c>
      <c r="B30" s="94" t="s">
        <v>12</v>
      </c>
    </row>
    <row r="31" spans="1:2" ht="26.25" customHeight="1" x14ac:dyDescent="0.5">
      <c r="A31" s="95" t="s">
        <v>56</v>
      </c>
      <c r="B31" s="96">
        <v>8300</v>
      </c>
    </row>
    <row r="32" spans="1:2" ht="19.5" customHeight="1" x14ac:dyDescent="0.4">
      <c r="A32" s="93" t="s">
        <v>11</v>
      </c>
      <c r="B32" s="94" t="s">
        <v>12</v>
      </c>
    </row>
    <row r="33" spans="1:2" ht="26.25" customHeight="1" x14ac:dyDescent="0.5">
      <c r="A33" s="103" t="s">
        <v>22</v>
      </c>
      <c r="B33" s="96">
        <v>3800</v>
      </c>
    </row>
    <row r="34" spans="1:2" ht="19.5" customHeight="1" x14ac:dyDescent="0.4">
      <c r="A34" s="97"/>
      <c r="B34" s="98"/>
    </row>
    <row r="35" spans="1:2" ht="19.5" customHeight="1" x14ac:dyDescent="0.4">
      <c r="A35" s="97"/>
      <c r="B35" s="98"/>
    </row>
    <row r="36" spans="1:2" ht="19.5" customHeight="1" x14ac:dyDescent="0.4">
      <c r="A36" s="97"/>
      <c r="B36" s="98"/>
    </row>
    <row r="37" spans="1:2" ht="19.5" customHeight="1" x14ac:dyDescent="0.4">
      <c r="A37" s="97"/>
      <c r="B37" s="98"/>
    </row>
    <row r="38" spans="1:2" ht="19.5" customHeight="1" x14ac:dyDescent="0.4">
      <c r="A38" s="97"/>
      <c r="B38" s="98"/>
    </row>
    <row r="39" spans="1:2" ht="19.5" customHeight="1" x14ac:dyDescent="0.4">
      <c r="A39" s="97"/>
      <c r="B39" s="98"/>
    </row>
    <row r="40" spans="1:2" ht="19.5" customHeight="1" x14ac:dyDescent="0.4">
      <c r="A40" s="97"/>
      <c r="B40" s="98"/>
    </row>
    <row r="41" spans="1:2" ht="19.5" customHeight="1" x14ac:dyDescent="0.4">
      <c r="A41" s="97"/>
      <c r="B41" s="98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zoomScale="60" workbookViewId="0"/>
  </sheetViews>
  <sheetFormatPr defaultRowHeight="14.4" x14ac:dyDescent="0.3"/>
  <cols>
    <col min="1" max="1" width="52" customWidth="1"/>
    <col min="2" max="2" width="18" customWidth="1"/>
    <col min="3" max="3" width="20" customWidth="1"/>
    <col min="4" max="4" width="16" customWidth="1"/>
    <col min="5" max="5" width="18" customWidth="1"/>
  </cols>
  <sheetData>
    <row r="1" spans="1:5" ht="39.9" customHeight="1" x14ac:dyDescent="0.3">
      <c r="A1" s="200" t="s">
        <v>65</v>
      </c>
      <c r="B1" s="201"/>
      <c r="C1" s="201"/>
      <c r="D1" s="201"/>
      <c r="E1" s="202"/>
    </row>
    <row r="4" spans="1:5" ht="26.1" customHeight="1" x14ac:dyDescent="0.3">
      <c r="A4" s="114" t="s">
        <v>66</v>
      </c>
      <c r="B4" s="114" t="s">
        <v>67</v>
      </c>
      <c r="C4" s="114" t="s">
        <v>68</v>
      </c>
      <c r="D4" s="114" t="s">
        <v>69</v>
      </c>
      <c r="E4" s="114" t="s">
        <v>70</v>
      </c>
    </row>
    <row r="5" spans="1:5" ht="32.1" customHeight="1" x14ac:dyDescent="0.3">
      <c r="A5" s="115" t="s">
        <v>71</v>
      </c>
      <c r="B5" s="116" t="s">
        <v>72</v>
      </c>
      <c r="C5" s="117" t="s">
        <v>73</v>
      </c>
      <c r="D5" s="118">
        <v>46191</v>
      </c>
      <c r="E5" s="119">
        <v>2456</v>
      </c>
    </row>
    <row r="6" spans="1:5" ht="32.1" customHeight="1" x14ac:dyDescent="0.3">
      <c r="A6" s="120" t="s">
        <v>74</v>
      </c>
      <c r="B6" s="121"/>
      <c r="C6" s="122"/>
      <c r="D6" s="123"/>
      <c r="E6" s="124"/>
    </row>
    <row r="7" spans="1:5" ht="32.1" customHeight="1" x14ac:dyDescent="0.3">
      <c r="A7" s="125" t="s">
        <v>75</v>
      </c>
      <c r="B7" s="121"/>
      <c r="C7" s="122"/>
      <c r="D7" s="123"/>
      <c r="E7" s="124"/>
    </row>
    <row r="8" spans="1:5" ht="33.9" customHeight="1" x14ac:dyDescent="0.3">
      <c r="A8" s="126"/>
      <c r="B8" s="127" t="s">
        <v>76</v>
      </c>
      <c r="C8" s="128"/>
      <c r="D8" s="129"/>
      <c r="E8" s="130">
        <f>SUM(E5:E7)</f>
        <v>2456</v>
      </c>
    </row>
    <row r="9" spans="1:5" ht="32.1" customHeight="1" x14ac:dyDescent="0.3">
      <c r="A9" s="115" t="s">
        <v>77</v>
      </c>
      <c r="B9" s="116" t="s">
        <v>72</v>
      </c>
      <c r="C9" s="117" t="s">
        <v>78</v>
      </c>
      <c r="D9" s="118">
        <v>46162</v>
      </c>
      <c r="E9" s="119">
        <v>594.04</v>
      </c>
    </row>
    <row r="10" spans="1:5" ht="32.1" customHeight="1" x14ac:dyDescent="0.3">
      <c r="A10" s="120" t="s">
        <v>79</v>
      </c>
      <c r="B10" s="121"/>
      <c r="C10" s="122"/>
      <c r="D10" s="123"/>
      <c r="E10" s="124"/>
    </row>
    <row r="11" spans="1:5" ht="32.1" customHeight="1" x14ac:dyDescent="0.3">
      <c r="A11" s="125" t="s">
        <v>80</v>
      </c>
      <c r="B11" s="121"/>
      <c r="C11" s="122"/>
      <c r="D11" s="123"/>
      <c r="E11" s="124"/>
    </row>
    <row r="12" spans="1:5" ht="33.9" customHeight="1" x14ac:dyDescent="0.3">
      <c r="A12" s="126"/>
      <c r="B12" s="127" t="s">
        <v>76</v>
      </c>
      <c r="C12" s="128"/>
      <c r="D12" s="129"/>
      <c r="E12" s="130">
        <f>SUM(E9:E11)</f>
        <v>594.04</v>
      </c>
    </row>
    <row r="13" spans="1:5" ht="32.1" customHeight="1" x14ac:dyDescent="0.3">
      <c r="A13" s="115" t="s">
        <v>81</v>
      </c>
      <c r="B13" s="116" t="s">
        <v>72</v>
      </c>
      <c r="C13" s="117" t="s">
        <v>82</v>
      </c>
      <c r="D13" s="118">
        <v>46184</v>
      </c>
      <c r="E13" s="119">
        <v>2827.96</v>
      </c>
    </row>
    <row r="14" spans="1:5" ht="32.1" customHeight="1" x14ac:dyDescent="0.3">
      <c r="A14" s="120" t="s">
        <v>83</v>
      </c>
      <c r="B14" s="121" t="s">
        <v>72</v>
      </c>
      <c r="C14" s="122" t="s">
        <v>84</v>
      </c>
      <c r="D14" s="123">
        <v>46192</v>
      </c>
      <c r="E14" s="124">
        <v>2470.06</v>
      </c>
    </row>
    <row r="15" spans="1:5" ht="32.1" customHeight="1" x14ac:dyDescent="0.3">
      <c r="A15" s="125" t="s">
        <v>85</v>
      </c>
      <c r="B15" s="121"/>
      <c r="C15" s="122"/>
      <c r="D15" s="123"/>
      <c r="E15" s="124"/>
    </row>
    <row r="16" spans="1:5" ht="33.9" customHeight="1" x14ac:dyDescent="0.3">
      <c r="A16" s="126"/>
      <c r="B16" s="127" t="s">
        <v>76</v>
      </c>
      <c r="C16" s="128"/>
      <c r="D16" s="129"/>
      <c r="E16" s="130">
        <f>SUM(E13:E15)</f>
        <v>5298.02</v>
      </c>
    </row>
    <row r="17" spans="1:5" ht="32.1" customHeight="1" x14ac:dyDescent="0.3">
      <c r="A17" s="115" t="s">
        <v>86</v>
      </c>
      <c r="B17" s="116" t="s">
        <v>72</v>
      </c>
      <c r="C17" s="117" t="s">
        <v>87</v>
      </c>
      <c r="D17" s="118">
        <v>46182</v>
      </c>
      <c r="E17" s="119">
        <v>961.74</v>
      </c>
    </row>
    <row r="18" spans="1:5" ht="32.1" customHeight="1" x14ac:dyDescent="0.3">
      <c r="A18" s="120" t="s">
        <v>88</v>
      </c>
      <c r="B18" s="121" t="s">
        <v>72</v>
      </c>
      <c r="C18" s="122" t="s">
        <v>89</v>
      </c>
      <c r="D18" s="123">
        <v>46183</v>
      </c>
      <c r="E18" s="124">
        <v>2235.8000000000002</v>
      </c>
    </row>
    <row r="19" spans="1:5" ht="32.1" customHeight="1" x14ac:dyDescent="0.3">
      <c r="A19" s="125" t="s">
        <v>80</v>
      </c>
      <c r="B19" s="121" t="s">
        <v>72</v>
      </c>
      <c r="C19" s="122" t="s">
        <v>90</v>
      </c>
      <c r="D19" s="123">
        <v>46188</v>
      </c>
      <c r="E19" s="124">
        <v>1291.96</v>
      </c>
    </row>
    <row r="20" spans="1:5" ht="32.1" customHeight="1" x14ac:dyDescent="0.3">
      <c r="A20" s="120"/>
      <c r="B20" s="121" t="s">
        <v>72</v>
      </c>
      <c r="C20" s="122" t="s">
        <v>91</v>
      </c>
      <c r="D20" s="123">
        <v>46188</v>
      </c>
      <c r="E20" s="124">
        <v>990.17</v>
      </c>
    </row>
    <row r="21" spans="1:5" ht="33.9" customHeight="1" x14ac:dyDescent="0.3">
      <c r="A21" s="126"/>
      <c r="B21" s="127" t="s">
        <v>76</v>
      </c>
      <c r="C21" s="128"/>
      <c r="D21" s="129"/>
      <c r="E21" s="130">
        <f>SUM(E17:E20)</f>
        <v>5479.67</v>
      </c>
    </row>
    <row r="22" spans="1:5" ht="32.1" customHeight="1" x14ac:dyDescent="0.3">
      <c r="A22" s="115" t="s">
        <v>92</v>
      </c>
      <c r="B22" s="116" t="s">
        <v>72</v>
      </c>
      <c r="C22" s="117" t="s">
        <v>93</v>
      </c>
      <c r="D22" s="118">
        <v>46188</v>
      </c>
      <c r="E22" s="119">
        <v>2249.48</v>
      </c>
    </row>
    <row r="23" spans="1:5" ht="32.1" customHeight="1" x14ac:dyDescent="0.3">
      <c r="A23" s="120" t="s">
        <v>94</v>
      </c>
      <c r="B23" s="121" t="s">
        <v>72</v>
      </c>
      <c r="C23" s="122" t="s">
        <v>95</v>
      </c>
      <c r="D23" s="123">
        <v>46188</v>
      </c>
      <c r="E23" s="124">
        <v>112</v>
      </c>
    </row>
    <row r="24" spans="1:5" ht="32.1" customHeight="1" x14ac:dyDescent="0.3">
      <c r="A24" s="125" t="s">
        <v>96</v>
      </c>
      <c r="B24" s="121"/>
      <c r="C24" s="122"/>
      <c r="D24" s="123"/>
      <c r="E24" s="124"/>
    </row>
    <row r="25" spans="1:5" ht="33.9" customHeight="1" x14ac:dyDescent="0.3">
      <c r="A25" s="126"/>
      <c r="B25" s="127" t="s">
        <v>76</v>
      </c>
      <c r="C25" s="128"/>
      <c r="D25" s="129"/>
      <c r="E25" s="130">
        <f>SUM(E22:E24)</f>
        <v>2361.48</v>
      </c>
    </row>
    <row r="26" spans="1:5" ht="32.1" customHeight="1" x14ac:dyDescent="0.3">
      <c r="A26" s="115" t="s">
        <v>97</v>
      </c>
      <c r="B26" s="116" t="s">
        <v>72</v>
      </c>
      <c r="C26" s="117" t="s">
        <v>98</v>
      </c>
      <c r="D26" s="118">
        <v>46183</v>
      </c>
      <c r="E26" s="119">
        <v>628.39</v>
      </c>
    </row>
    <row r="27" spans="1:5" ht="32.1" customHeight="1" x14ac:dyDescent="0.3">
      <c r="A27" s="120" t="s">
        <v>99</v>
      </c>
      <c r="B27" s="121" t="s">
        <v>72</v>
      </c>
      <c r="C27" s="122" t="s">
        <v>100</v>
      </c>
      <c r="D27" s="123">
        <v>46183</v>
      </c>
      <c r="E27" s="124">
        <v>595.5</v>
      </c>
    </row>
    <row r="28" spans="1:5" ht="32.1" customHeight="1" x14ac:dyDescent="0.3">
      <c r="A28" s="125" t="s">
        <v>101</v>
      </c>
      <c r="B28" s="121"/>
      <c r="C28" s="122"/>
      <c r="D28" s="123"/>
      <c r="E28" s="124"/>
    </row>
    <row r="29" spans="1:5" ht="33.9" customHeight="1" x14ac:dyDescent="0.3">
      <c r="A29" s="126"/>
      <c r="B29" s="127" t="s">
        <v>76</v>
      </c>
      <c r="C29" s="128"/>
      <c r="D29" s="129"/>
      <c r="E29" s="130">
        <f>SUM(E26:E28)</f>
        <v>1223.8899999999999</v>
      </c>
    </row>
    <row r="30" spans="1:5" ht="32.1" customHeight="1" x14ac:dyDescent="0.3">
      <c r="A30" s="115" t="s">
        <v>102</v>
      </c>
      <c r="B30" s="116" t="s">
        <v>72</v>
      </c>
      <c r="C30" s="117" t="s">
        <v>103</v>
      </c>
      <c r="D30" s="118">
        <v>46001</v>
      </c>
      <c r="E30" s="119">
        <v>20000</v>
      </c>
    </row>
    <row r="31" spans="1:5" ht="32.1" customHeight="1" x14ac:dyDescent="0.3">
      <c r="A31" s="120" t="s">
        <v>104</v>
      </c>
      <c r="B31" s="121"/>
      <c r="C31" s="122"/>
      <c r="D31" s="123"/>
      <c r="E31" s="124"/>
    </row>
    <row r="32" spans="1:5" ht="32.1" customHeight="1" x14ac:dyDescent="0.3">
      <c r="A32" s="125" t="s">
        <v>105</v>
      </c>
      <c r="B32" s="121"/>
      <c r="C32" s="122"/>
      <c r="D32" s="123"/>
      <c r="E32" s="124"/>
    </row>
    <row r="33" spans="1:5" ht="33.9" customHeight="1" x14ac:dyDescent="0.3">
      <c r="A33" s="126"/>
      <c r="B33" s="127" t="s">
        <v>76</v>
      </c>
      <c r="C33" s="128"/>
      <c r="D33" s="129"/>
      <c r="E33" s="130">
        <f>SUM(E30:E32)</f>
        <v>20000</v>
      </c>
    </row>
    <row r="34" spans="1:5" ht="32.1" customHeight="1" x14ac:dyDescent="0.3">
      <c r="A34" s="115" t="s">
        <v>106</v>
      </c>
      <c r="B34" s="116" t="s">
        <v>72</v>
      </c>
      <c r="C34" s="117" t="s">
        <v>107</v>
      </c>
      <c r="D34" s="118">
        <v>46121</v>
      </c>
      <c r="E34" s="119">
        <v>605</v>
      </c>
    </row>
    <row r="35" spans="1:5" ht="32.1" customHeight="1" x14ac:dyDescent="0.3">
      <c r="A35" s="125" t="s">
        <v>80</v>
      </c>
      <c r="B35" s="121"/>
      <c r="C35" s="122"/>
      <c r="D35" s="123"/>
      <c r="E35" s="124"/>
    </row>
    <row r="36" spans="1:5" ht="33.9" customHeight="1" x14ac:dyDescent="0.3">
      <c r="A36" s="126"/>
      <c r="B36" s="127" t="s">
        <v>76</v>
      </c>
      <c r="C36" s="128"/>
      <c r="D36" s="129"/>
      <c r="E36" s="130">
        <f>SUM(E34:E35)</f>
        <v>605</v>
      </c>
    </row>
    <row r="37" spans="1:5" ht="32.1" customHeight="1" x14ac:dyDescent="0.3">
      <c r="A37" s="115" t="s">
        <v>108</v>
      </c>
      <c r="B37" s="116"/>
      <c r="C37" s="117"/>
      <c r="D37" s="118"/>
      <c r="E37" s="131">
        <v>719.63</v>
      </c>
    </row>
    <row r="38" spans="1:5" ht="32.1" customHeight="1" x14ac:dyDescent="0.3">
      <c r="A38" s="120" t="s">
        <v>109</v>
      </c>
      <c r="B38" s="121"/>
      <c r="C38" s="122"/>
      <c r="D38" s="123"/>
      <c r="E38" s="124"/>
    </row>
    <row r="39" spans="1:5" ht="32.1" customHeight="1" x14ac:dyDescent="0.3">
      <c r="A39" s="125" t="s">
        <v>80</v>
      </c>
      <c r="B39" s="121"/>
      <c r="C39" s="122"/>
      <c r="D39" s="123"/>
      <c r="E39" s="124"/>
    </row>
    <row r="40" spans="1:5" ht="33.9" customHeight="1" x14ac:dyDescent="0.3">
      <c r="A40" s="126"/>
      <c r="B40" s="127" t="s">
        <v>76</v>
      </c>
      <c r="C40" s="128"/>
      <c r="D40" s="129"/>
      <c r="E40" s="132">
        <f>SUM(E37:E39)</f>
        <v>719.63</v>
      </c>
    </row>
    <row r="41" spans="1:5" ht="32.1" customHeight="1" x14ac:dyDescent="0.3">
      <c r="A41" s="115" t="s">
        <v>110</v>
      </c>
      <c r="B41" s="116" t="s">
        <v>72</v>
      </c>
      <c r="C41" s="117" t="s">
        <v>111</v>
      </c>
      <c r="D41" s="118">
        <v>46177</v>
      </c>
      <c r="E41" s="119">
        <v>3569.58</v>
      </c>
    </row>
    <row r="42" spans="1:5" ht="32.1" customHeight="1" x14ac:dyDescent="0.3">
      <c r="A42" s="120" t="s">
        <v>112</v>
      </c>
      <c r="B42" s="121" t="s">
        <v>72</v>
      </c>
      <c r="C42" s="122" t="s">
        <v>113</v>
      </c>
      <c r="D42" s="123">
        <v>46184</v>
      </c>
      <c r="E42" s="124">
        <v>2085.69</v>
      </c>
    </row>
    <row r="43" spans="1:5" ht="32.1" customHeight="1" x14ac:dyDescent="0.3">
      <c r="A43" s="125" t="s">
        <v>114</v>
      </c>
      <c r="B43" s="121" t="s">
        <v>72</v>
      </c>
      <c r="C43" s="122" t="s">
        <v>115</v>
      </c>
      <c r="D43" s="123">
        <v>46191</v>
      </c>
      <c r="E43" s="124">
        <v>5712.87</v>
      </c>
    </row>
    <row r="44" spans="1:5" ht="33.9" customHeight="1" x14ac:dyDescent="0.3">
      <c r="A44" s="126"/>
      <c r="B44" s="127" t="s">
        <v>76</v>
      </c>
      <c r="C44" s="128"/>
      <c r="D44" s="129"/>
      <c r="E44" s="130">
        <f>SUM(E41:E43)</f>
        <v>11368.14</v>
      </c>
    </row>
    <row r="45" spans="1:5" ht="32.1" customHeight="1" x14ac:dyDescent="0.3">
      <c r="A45" s="115" t="s">
        <v>116</v>
      </c>
      <c r="B45" s="116" t="s">
        <v>72</v>
      </c>
      <c r="C45" s="117" t="s">
        <v>117</v>
      </c>
      <c r="D45" s="118">
        <v>46191</v>
      </c>
      <c r="E45" s="119">
        <v>2128.63</v>
      </c>
    </row>
    <row r="46" spans="1:5" ht="32.1" customHeight="1" x14ac:dyDescent="0.3">
      <c r="A46" s="120" t="s">
        <v>118</v>
      </c>
      <c r="B46" s="121"/>
      <c r="C46" s="122"/>
      <c r="D46" s="123"/>
      <c r="E46" s="124"/>
    </row>
    <row r="47" spans="1:5" ht="32.1" customHeight="1" x14ac:dyDescent="0.3">
      <c r="A47" s="125" t="s">
        <v>119</v>
      </c>
      <c r="B47" s="121"/>
      <c r="C47" s="122"/>
      <c r="D47" s="123"/>
      <c r="E47" s="124"/>
    </row>
    <row r="48" spans="1:5" ht="33.9" customHeight="1" x14ac:dyDescent="0.3">
      <c r="A48" s="126"/>
      <c r="B48" s="127" t="s">
        <v>76</v>
      </c>
      <c r="C48" s="128"/>
      <c r="D48" s="129"/>
      <c r="E48" s="130">
        <f>SUM(E45:E47)</f>
        <v>2128.63</v>
      </c>
    </row>
    <row r="49" spans="1:5" ht="32.1" customHeight="1" x14ac:dyDescent="0.3">
      <c r="A49" s="115" t="s">
        <v>120</v>
      </c>
      <c r="B49" s="116" t="s">
        <v>72</v>
      </c>
      <c r="C49" s="117" t="s">
        <v>121</v>
      </c>
      <c r="D49" s="118">
        <v>46183</v>
      </c>
      <c r="E49" s="119">
        <v>747.05</v>
      </c>
    </row>
    <row r="50" spans="1:5" ht="32.1" customHeight="1" x14ac:dyDescent="0.3">
      <c r="A50" s="120" t="s">
        <v>122</v>
      </c>
      <c r="B50" s="121"/>
      <c r="C50" s="122"/>
      <c r="D50" s="123"/>
      <c r="E50" s="124"/>
    </row>
    <row r="51" spans="1:5" ht="32.1" customHeight="1" x14ac:dyDescent="0.3">
      <c r="A51" s="125" t="s">
        <v>80</v>
      </c>
      <c r="B51" s="121"/>
      <c r="C51" s="122"/>
      <c r="D51" s="123"/>
      <c r="E51" s="124"/>
    </row>
    <row r="52" spans="1:5" ht="33.9" customHeight="1" x14ac:dyDescent="0.3">
      <c r="A52" s="126"/>
      <c r="B52" s="127" t="s">
        <v>76</v>
      </c>
      <c r="C52" s="128"/>
      <c r="D52" s="129"/>
      <c r="E52" s="130">
        <f>SUM(E49:E51)</f>
        <v>747.05</v>
      </c>
    </row>
    <row r="53" spans="1:5" ht="32.1" customHeight="1" x14ac:dyDescent="0.3">
      <c r="A53" s="115" t="s">
        <v>123</v>
      </c>
      <c r="B53" s="116" t="s">
        <v>72</v>
      </c>
      <c r="C53" s="117" t="s">
        <v>124</v>
      </c>
      <c r="D53" s="118">
        <v>46184</v>
      </c>
      <c r="E53" s="119">
        <v>1946.48</v>
      </c>
    </row>
    <row r="54" spans="1:5" ht="32.1" customHeight="1" x14ac:dyDescent="0.3">
      <c r="A54" s="125" t="s">
        <v>80</v>
      </c>
      <c r="B54" s="121" t="s">
        <v>72</v>
      </c>
      <c r="C54" s="122" t="s">
        <v>125</v>
      </c>
      <c r="D54" s="123">
        <v>46184</v>
      </c>
      <c r="E54" s="124">
        <v>516.44000000000005</v>
      </c>
    </row>
    <row r="55" spans="1:5" ht="32.1" customHeight="1" x14ac:dyDescent="0.3">
      <c r="A55" s="120"/>
      <c r="B55" s="121" t="s">
        <v>72</v>
      </c>
      <c r="C55" s="122" t="s">
        <v>126</v>
      </c>
      <c r="D55" s="123">
        <v>46186</v>
      </c>
      <c r="E55" s="124">
        <v>1083.83</v>
      </c>
    </row>
    <row r="56" spans="1:5" ht="33.9" customHeight="1" x14ac:dyDescent="0.3">
      <c r="A56" s="126"/>
      <c r="B56" s="127" t="s">
        <v>76</v>
      </c>
      <c r="C56" s="128"/>
      <c r="D56" s="129"/>
      <c r="E56" s="130">
        <f>SUM(E53:E55)</f>
        <v>3546.75</v>
      </c>
    </row>
    <row r="57" spans="1:5" ht="32.1" customHeight="1" x14ac:dyDescent="0.3">
      <c r="A57" s="115" t="s">
        <v>127</v>
      </c>
      <c r="B57" s="116" t="s">
        <v>72</v>
      </c>
      <c r="C57" s="117" t="s">
        <v>128</v>
      </c>
      <c r="D57" s="118">
        <v>46185</v>
      </c>
      <c r="E57" s="119">
        <v>2778.8</v>
      </c>
    </row>
    <row r="58" spans="1:5" ht="32.1" customHeight="1" x14ac:dyDescent="0.3">
      <c r="A58" s="120" t="s">
        <v>129</v>
      </c>
      <c r="B58" s="121" t="s">
        <v>72</v>
      </c>
      <c r="C58" s="122" t="s">
        <v>130</v>
      </c>
      <c r="D58" s="123">
        <v>46191</v>
      </c>
      <c r="E58" s="124">
        <v>3191.76</v>
      </c>
    </row>
    <row r="59" spans="1:5" ht="32.1" customHeight="1" x14ac:dyDescent="0.3">
      <c r="A59" s="125" t="s">
        <v>131</v>
      </c>
      <c r="B59" s="121"/>
      <c r="C59" s="122"/>
      <c r="D59" s="123"/>
      <c r="E59" s="124"/>
    </row>
    <row r="60" spans="1:5" ht="33.9" customHeight="1" x14ac:dyDescent="0.3">
      <c r="A60" s="126"/>
      <c r="B60" s="127" t="s">
        <v>76</v>
      </c>
      <c r="C60" s="128"/>
      <c r="D60" s="129"/>
      <c r="E60" s="130">
        <f>SUM(E57:E59)</f>
        <v>5970.56</v>
      </c>
    </row>
    <row r="61" spans="1:5" ht="32.1" customHeight="1" x14ac:dyDescent="0.3">
      <c r="A61" s="115" t="s">
        <v>132</v>
      </c>
      <c r="B61" s="116" t="s">
        <v>72</v>
      </c>
      <c r="C61" s="117" t="s">
        <v>133</v>
      </c>
      <c r="D61" s="118">
        <v>46184</v>
      </c>
      <c r="E61" s="119">
        <v>1506.61</v>
      </c>
    </row>
    <row r="62" spans="1:5" ht="32.1" customHeight="1" x14ac:dyDescent="0.3">
      <c r="A62" s="120" t="s">
        <v>134</v>
      </c>
      <c r="B62" s="121"/>
      <c r="C62" s="122"/>
      <c r="D62" s="123"/>
      <c r="E62" s="124"/>
    </row>
    <row r="63" spans="1:5" ht="32.1" customHeight="1" x14ac:dyDescent="0.3">
      <c r="A63" s="125" t="s">
        <v>80</v>
      </c>
      <c r="B63" s="121"/>
      <c r="C63" s="122"/>
      <c r="D63" s="123"/>
      <c r="E63" s="124"/>
    </row>
    <row r="64" spans="1:5" ht="33.9" customHeight="1" x14ac:dyDescent="0.3">
      <c r="A64" s="126"/>
      <c r="B64" s="127" t="s">
        <v>76</v>
      </c>
      <c r="C64" s="128"/>
      <c r="D64" s="129"/>
      <c r="E64" s="130">
        <f>SUM(E61:E63)</f>
        <v>1506.61</v>
      </c>
    </row>
    <row r="65" spans="1:5" ht="32.1" customHeight="1" x14ac:dyDescent="0.3">
      <c r="A65" s="115" t="s">
        <v>135</v>
      </c>
      <c r="B65" s="116" t="s">
        <v>72</v>
      </c>
      <c r="C65" s="117" t="s">
        <v>136</v>
      </c>
      <c r="D65" s="118">
        <v>46184</v>
      </c>
      <c r="E65" s="119">
        <v>3359.93</v>
      </c>
    </row>
    <row r="66" spans="1:5" ht="32.1" customHeight="1" x14ac:dyDescent="0.3">
      <c r="A66" s="120" t="s">
        <v>137</v>
      </c>
      <c r="B66" s="121" t="s">
        <v>72</v>
      </c>
      <c r="C66" s="122" t="s">
        <v>138</v>
      </c>
      <c r="D66" s="123">
        <v>46191</v>
      </c>
      <c r="E66" s="124">
        <v>2259.9</v>
      </c>
    </row>
    <row r="67" spans="1:5" ht="32.1" customHeight="1" x14ac:dyDescent="0.3">
      <c r="A67" s="125" t="s">
        <v>80</v>
      </c>
      <c r="B67" s="121"/>
      <c r="C67" s="122"/>
      <c r="D67" s="123"/>
      <c r="E67" s="124"/>
    </row>
    <row r="68" spans="1:5" ht="33.9" customHeight="1" x14ac:dyDescent="0.3">
      <c r="A68" s="126"/>
      <c r="B68" s="127" t="s">
        <v>76</v>
      </c>
      <c r="C68" s="128"/>
      <c r="D68" s="129"/>
      <c r="E68" s="130">
        <f>SUM(E65:E67)</f>
        <v>5619.83</v>
      </c>
    </row>
    <row r="70" spans="1:5" ht="33.9" customHeight="1" x14ac:dyDescent="0.3">
      <c r="A70" s="126"/>
      <c r="B70" s="133" t="s">
        <v>139</v>
      </c>
      <c r="C70" s="128"/>
      <c r="D70" s="129"/>
      <c r="E70" s="130">
        <f>E8+E12+E16+E21+E25+E29+E33+E36+E40+E44+E48+E52+E56+E60+E64+E68</f>
        <v>69625.3</v>
      </c>
    </row>
  </sheetData>
  <mergeCells count="1">
    <mergeCell ref="A1:E1"/>
  </mergeCells>
  <pageMargins left="0.5" right="0.5" top="0.5" bottom="0.5" header="0.2" footer="0.2"/>
  <pageSetup paperSize="9" scale="65" orientation="portrait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AUGUST</vt:lpstr>
      <vt:lpstr>iulie 2026 bun</vt:lpstr>
      <vt:lpstr>aprilie</vt:lpstr>
      <vt:lpstr>martie</vt:lpstr>
      <vt:lpstr>februarie</vt:lpstr>
      <vt:lpstr>Sheet1</vt:lpstr>
      <vt:lpstr>ian final</vt:lpstr>
      <vt:lpstr>top steak bun</vt:lpstr>
      <vt:lpstr>'top steak bun'!Print_Area</vt:lpstr>
      <vt:lpstr>'top steak bun'!Print_Titles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Oana Roxana Cazacu</dc:creator>
  <cp:lastModifiedBy>Manolache Marius</cp:lastModifiedBy>
  <cp:revision>5</cp:revision>
  <dcterms:created xsi:type="dcterms:W3CDTF">2015-06-05T18:17:20Z</dcterms:created>
  <dcterms:modified xsi:type="dcterms:W3CDTF">2026-08-11T12:10:32Z</dcterms:modified>
</cp:coreProperties>
</file>